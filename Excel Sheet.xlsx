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yasa\Downloads\"/>
    </mc:Choice>
  </mc:AlternateContent>
  <xr:revisionPtr revIDLastSave="0" documentId="8_{2494F8E4-C07E-4C72-A7C0-EF91153879E6}" xr6:coauthVersionLast="47" xr6:coauthVersionMax="47" xr10:uidLastSave="{00000000-0000-0000-0000-000000000000}"/>
  <bookViews>
    <workbookView xWindow="-108" yWindow="-108" windowWidth="23256" windowHeight="12456" xr2:uid="{94C87125-9454-4F6A-B2F2-72E57CDFE479}"/>
  </bookViews>
  <sheets>
    <sheet name="Data &amp; Model" sheetId="1" r:id="rId1"/>
    <sheet name="Insights" sheetId="2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2" i="1"/>
  <c r="N2" i="2"/>
  <c r="N3" i="2"/>
  <c r="N4" i="2"/>
  <c r="N5" i="2"/>
  <c r="N6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2" i="1"/>
</calcChain>
</file>

<file path=xl/sharedStrings.xml><?xml version="1.0" encoding="utf-8"?>
<sst xmlns="http://schemas.openxmlformats.org/spreadsheetml/2006/main" count="355" uniqueCount="186">
  <si>
    <t>Store_Name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</si>
  <si>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</si>
  <si>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</si>
  <si>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</si>
  <si>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</si>
  <si>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</si>
  <si>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</si>
  <si>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</si>
  <si>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</si>
  <si>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</si>
  <si>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</si>
  <si>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</si>
  <si>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</si>
  <si>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</si>
  <si>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</si>
  <si>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</si>
  <si>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</si>
  <si>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</si>
  <si>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</si>
  <si>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</si>
  <si>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</si>
  <si>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</si>
  <si>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</si>
  <si>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</si>
  <si>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</si>
  <si>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</si>
  <si>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</si>
  <si>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</si>
  <si>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</si>
  <si>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</si>
  <si>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</si>
  <si>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</si>
  <si>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</si>
  <si>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</si>
  <si>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</si>
  <si>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</si>
  <si>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</si>
  <si>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</si>
  <si>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</si>
  <si>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</si>
  <si>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</si>
  <si>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</si>
  <si>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</si>
  <si>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</si>
  <si>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</si>
  <si>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</si>
  <si>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</si>
  <si>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</si>
  <si>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</si>
  <si>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</si>
  <si>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</si>
  <si>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</si>
  <si>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</si>
  <si>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</si>
  <si>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</si>
  <si>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</si>
  <si>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</si>
  <si>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</si>
  <si>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</si>
  <si>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</si>
  <si>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</si>
  <si>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</si>
  <si>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</si>
  <si>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</si>
  <si>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</si>
  <si>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</si>
  <si>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</si>
  <si>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</si>
  <si>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</si>
  <si>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</si>
  <si>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</si>
  <si>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</si>
  <si>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</si>
  <si>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</si>
  <si>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</si>
  <si>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</si>
  <si>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</si>
  <si>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</si>
  <si>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</si>
  <si>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</si>
  <si>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</si>
  <si>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</si>
  <si>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</si>
  <si>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</si>
  <si>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</si>
  <si>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</si>
  <si>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</si>
  <si>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</si>
  <si>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</si>
  <si>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</si>
  <si>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</si>
  <si>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</si>
  <si>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</si>
  <si>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</si>
  <si>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</si>
  <si>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</si>
  <si>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</si>
  <si>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</si>
  <si>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</si>
  <si>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</si>
  <si>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</si>
  <si>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</si>
  <si>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</si>
  <si>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</si>
  <si>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</si>
  <si>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</si>
  <si>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</si>
  <si>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</si>
  <si>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</si>
  <si>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</si>
  <si>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</si>
  <si>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</si>
  <si>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</si>
  <si>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</si>
  <si>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</si>
  <si>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</si>
  <si>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</si>
  <si>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</si>
  <si>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</si>
  <si>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</si>
  <si>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</si>
  <si>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</si>
  <si>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</si>
  <si>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</si>
  <si>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</si>
  <si>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</si>
  <si>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</si>
  <si>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</si>
  <si>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</si>
  <si>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</si>
  <si>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</si>
  <si>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</si>
  <si>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</si>
  <si>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</si>
  <si>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</si>
  <si>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</si>
  <si>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</si>
  <si>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</si>
  <si>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</si>
  <si>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</si>
  <si>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</si>
  <si>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</si>
  <si>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</si>
  <si>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</si>
  <si>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</si>
  <si>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</si>
  <si>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</si>
  <si>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</si>
  <si>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</si>
  <si>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</si>
  <si>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</si>
  <si>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</si>
  <si>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</si>
  <si>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</si>
  <si>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</si>
  <si>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</si>
  <si>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</si>
  <si>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</si>
  <si>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</si>
  <si>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</si>
  <si>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</si>
  <si>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</si>
  <si>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</si>
  <si>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</si>
  <si>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</si>
  <si>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</si>
  <si>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</si>
  <si>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</si>
  <si>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</si>
  <si>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</si>
  <si>
    <t>Branch</t>
  </si>
  <si>
    <t>Dec</t>
  </si>
  <si>
    <t>Nov</t>
  </si>
  <si>
    <t>Oct</t>
  </si>
  <si>
    <t>Sep</t>
  </si>
  <si>
    <t>Aug</t>
  </si>
  <si>
    <t>Avg_Attach</t>
  </si>
  <si>
    <t>Volatility</t>
  </si>
  <si>
    <t>Category</t>
  </si>
  <si>
    <t>Recent Trend</t>
  </si>
  <si>
    <t>Long Term Trend</t>
  </si>
  <si>
    <t>Total</t>
  </si>
  <si>
    <t>Avg Attach %</t>
  </si>
  <si>
    <t>Month</t>
  </si>
  <si>
    <t>January Attach % Prediction</t>
  </si>
  <si>
    <t>Branch-level average attach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</si>
</sst>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0" applyNumberForma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4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/>
    <xf numFmtId="10" fontId="0" fillId="0" borderId="0" xfId="0" applyNumberFormat="1"/>
    <xf numFmtId="0" fontId="0" fillId="0" borderId="7" xfId="0" applyBorder="1"/>
    <xf numFmtId="164" fontId="0" fillId="0" borderId="8" xfId="0" applyNumberFormat="1" applyBorder="1"/>
    <xf numFmtId="2" fontId="1" fillId="2" borderId="2" xfId="0" applyNumberFormat="1" applyFon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font>
        <color theme="7"/>
      </font>
    </dxf>
    <dxf>
      <font>
        <color theme="4"/>
      </font>
    </dxf>
    <dxf>
      <font>
        <color theme="8"/>
      </font>
    </dxf>
    <dxf>
      <font>
        <color theme="6"/>
      </font>
    </dxf>
    <dxf>
      <font>
        <color theme="5"/>
      </font>
    </dxf>
    <dxf>
      <font>
        <color theme="7"/>
      </font>
    </dxf>
    <dxf>
      <font>
        <color theme="5"/>
      </font>
    </dxf>
    <dxf>
      <font>
        <color theme="0" tint="-0.499984740745262"/>
      </font>
    </dxf>
    <dxf>
      <font>
        <color theme="7"/>
      </font>
    </dxf>
    <dxf>
      <font>
        <color theme="4"/>
      </font>
    </dxf>
    <dxf>
      <font>
        <color theme="6"/>
      </font>
    </dxf>
    <dxf>
      <font>
        <color theme="5"/>
      </font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Store categorisation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F7-492E-9BC5-D07563D016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F7-492E-9BC5-D07563D016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F7-492E-9BC5-D07563D016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F7-492E-9BC5-D07563D016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F7-492E-9BC5-D07563D016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Champion</c:v>
              </c:pt>
              <c:pt idx="1">
                <c:v>Critical</c:v>
              </c:pt>
              <c:pt idx="2">
                <c:v>Opportunity</c:v>
              </c:pt>
              <c:pt idx="3">
                <c:v>Stable</c:v>
              </c:pt>
            </c:strLit>
          </c:cat>
          <c:val>
            <c:numLit>
              <c:formatCode>General</c:formatCode>
              <c:ptCount val="4"/>
              <c:pt idx="0">
                <c:v>1.84049079754601E-2</c:v>
              </c:pt>
              <c:pt idx="1">
                <c:v>0.45398773006134902</c:v>
              </c:pt>
              <c:pt idx="2">
                <c:v>0.32331280000000001</c:v>
              </c:pt>
              <c:pt idx="3">
                <c:v>0.20245398773006101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Total</c:v>
                </c15:tx>
              </c15:filteredSeriesTitle>
            </c:ext>
            <c:ext xmlns:c16="http://schemas.microsoft.com/office/drawing/2014/chart" uri="{C3380CC4-5D6E-409C-BE32-E72D297353CC}">
              <c16:uniqueId val="{0000000A-0EF7-492E-9BC5-D07563D016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0" i="0" u="none" strike="noStrike" baseline="0"/>
              <a:t>Month-wise Average Attach % Trend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Insights!$N$1</c:f>
              <c:strCache>
                <c:ptCount val="1"/>
                <c:pt idx="0">
                  <c:v>Avg Attach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Insights!$M$2:$M$6</c:f>
              <c:strCache>
                <c:ptCount val="5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Insights!$N$2:$N$6</c:f>
              <c:numCache>
                <c:formatCode>0%</c:formatCode>
                <c:ptCount val="5"/>
                <c:pt idx="0">
                  <c:v>0.12858895705521478</c:v>
                </c:pt>
                <c:pt idx="1">
                  <c:v>0.17098159509202449</c:v>
                </c:pt>
                <c:pt idx="2">
                  <c:v>0.17092024539877312</c:v>
                </c:pt>
                <c:pt idx="3">
                  <c:v>0.21711656441717783</c:v>
                </c:pt>
                <c:pt idx="4">
                  <c:v>0.21723926380368097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3-4404-A475-968C1F340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466256"/>
        <c:axId val="1498462896"/>
      </c:lineChart>
      <c:catAx>
        <c:axId val="149846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2896"/>
        <c:crosses val="autoZero"/>
        <c:auto val="1"/>
        <c:lblAlgn val="ctr"/>
        <c:lblOffset val="100"/>
        <c:noMultiLvlLbl val="0"/>
      </c:catAx>
      <c:valAx>
        <c:axId val="14984628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6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Sheet.xlsx]Insights!PivotTable1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Insights!$A$5:$A$10</c:f>
              <c:strCache>
                <c:ptCount val="6"/>
                <c:pt idx="0">
                  <c:v>Pune</c:v>
                </c:pt>
                <c:pt idx="1">
                  <c:v>Delhi_Ncr</c:v>
                </c:pt>
                <c:pt idx="2">
                  <c:v>Mumbai</c:v>
                </c:pt>
                <c:pt idx="3">
                  <c:v>Thane</c:v>
                </c:pt>
                <c:pt idx="4">
                  <c:v>Gujarat</c:v>
                </c:pt>
                <c:pt idx="5">
                  <c:v>Telangana</c:v>
                </c:pt>
              </c:strCache>
            </c:strRef>
          </c:cat>
          <c:val>
            <c:numRef>
              <c:f>Insights!$B$5:$B$10</c:f>
              <c:numCache>
                <c:formatCode>0.0%</c:formatCode>
                <c:ptCount val="6"/>
                <c:pt idx="0">
                  <c:v>0.27650000000000002</c:v>
                </c:pt>
                <c:pt idx="1">
                  <c:v>0.24368181818181822</c:v>
                </c:pt>
                <c:pt idx="2">
                  <c:v>0.17347368421052628</c:v>
                </c:pt>
                <c:pt idx="3">
                  <c:v>0.14859999999999998</c:v>
                </c:pt>
                <c:pt idx="4">
                  <c:v>0.1345833333333333</c:v>
                </c:pt>
                <c:pt idx="5">
                  <c:v>0.11835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9-4FD9-9538-686E8A4CB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164112"/>
        <c:axId val="1494337600"/>
      </c:barChart>
      <c:catAx>
        <c:axId val="146516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337600"/>
        <c:crosses val="autoZero"/>
        <c:auto val="1"/>
        <c:lblAlgn val="ctr"/>
        <c:lblOffset val="100"/>
        <c:noMultiLvlLbl val="0"/>
      </c:catAx>
      <c:valAx>
        <c:axId val="149433760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10</xdr:row>
      <xdr:rowOff>144780</xdr:rowOff>
    </xdr:from>
    <xdr:to>
      <xdr:col>13</xdr:col>
      <xdr:colOff>198120</xdr:colOff>
      <xdr:row>26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FE0839-313E-40D6-B0EF-0665E87E6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419100</xdr:colOff>
      <xdr:row>10</xdr:row>
      <xdr:rowOff>106680</xdr:rowOff>
    </xdr:from>
    <xdr:to>
      <xdr:col>20</xdr:col>
      <xdr:colOff>137160</xdr:colOff>
      <xdr:row>26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8B7161-9B8E-D1E8-5654-E0E7E3C9D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15240</xdr:rowOff>
    </xdr:from>
    <xdr:to>
      <xdr:col>4</xdr:col>
      <xdr:colOff>487680</xdr:colOff>
      <xdr:row>26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5444C2-F1C0-CA1A-339B-1EECF25B8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yasa Dwivedi" refreshedDate="46006.142795023145" createdVersion="1" refreshedVersion="8" recordCount="164" upgradeOnRefresh="1" xr:uid="{684450E1-C090-40A8-9FD2-C9F629F430DA}">
  <cacheSource type="worksheet">
    <worksheetSource ref="A1:L65536" sheet="Data &amp; Model"/>
  </cacheSource>
  <cacheFields count="12">
    <cacheField name="Branch" numFmtId="0">
      <sharedItems containsBlank="1" count="7">
        <s v="Delhi_Ncr"/>
        <s v="Pune"/>
        <s v="Gujarat"/>
        <s v="Thane"/>
        <s v="Telangana"/>
        <s v="Mumbai"/>
        <m/>
      </sharedItems>
    </cacheField>
    <cacheField name="Store_Name" numFmtId="0">
      <sharedItems containsBlank="1"/>
    </cacheField>
    <cacheField name="Aug" numFmtId="0">
      <sharedItems containsString="0" containsBlank="1" containsNumber="1" minValue="0" maxValue="0.6"/>
    </cacheField>
    <cacheField name="Sep" numFmtId="0">
      <sharedItems containsString="0" containsBlank="1" containsNumber="1" minValue="0" maxValue="0.8"/>
    </cacheField>
    <cacheField name="Oct" numFmtId="0">
      <sharedItems containsString="0" containsBlank="1" containsNumber="1" minValue="0" maxValue="0.71"/>
    </cacheField>
    <cacheField name="Nov" numFmtId="0">
      <sharedItems containsString="0" containsBlank="1" containsNumber="1" minValue="0" maxValue="0.7"/>
    </cacheField>
    <cacheField name="Dec" numFmtId="0">
      <sharedItems containsString="0" containsBlank="1" containsNumber="1" minValue="0" maxValue="1"/>
    </cacheField>
    <cacheField name="Avg_Attach" numFmtId="0">
      <sharedItems containsString="0" containsBlank="1" containsNumber="1" minValue="0" maxValue="0.622"/>
    </cacheField>
    <cacheField name="Long Term Trend" numFmtId="0">
      <sharedItems containsString="0" containsBlank="1" containsNumber="1" minValue="-0.3" maxValue="0.97"/>
    </cacheField>
    <cacheField name="Volatility" numFmtId="0">
      <sharedItems containsString="0" containsBlank="1" containsNumber="1" minValue="0" maxValue="0.42245709841355489"/>
    </cacheField>
    <cacheField name="Recent Trend" numFmtId="0">
      <sharedItems containsString="0" containsBlank="1" containsNumber="1" minValue="-0.4" maxValue="0.92999999999999994"/>
    </cacheField>
    <cacheField name="Category" numFmtId="0">
      <sharedItems containsBlank="1" count="5">
        <s v="Opportunity"/>
        <s v="Stable"/>
        <s v="Champion"/>
        <s v="Crit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x v="0"/>
    <s v="Delhi(Janakpuri) Br"/>
    <n v="0.24"/>
    <n v="0.25"/>
    <n v="0.16"/>
    <n v="0.17"/>
    <n v="0.23"/>
    <n v="0.21000000000000002"/>
    <n v="-9.9999999999999811E-3"/>
    <n v="4.1833001326703798E-2"/>
    <n v="0.06"/>
    <x v="0"/>
  </r>
  <r>
    <x v="0"/>
    <s v="Haryana(Gurgaon) Br"/>
    <n v="0.04"/>
    <n v="0.28000000000000003"/>
    <n v="0.15"/>
    <n v="0.26"/>
    <n v="0.21"/>
    <n v="0.188"/>
    <n v="0.16999999999999998"/>
    <n v="9.6798760322640551E-2"/>
    <n v="-5.0000000000000017E-2"/>
    <x v="0"/>
  </r>
  <r>
    <x v="0"/>
    <s v="Up(Greater Noida) Br"/>
    <n v="0.43"/>
    <n v="0.41"/>
    <n v="0.3"/>
    <n v="0.36"/>
    <n v="0.25"/>
    <n v="0.35"/>
    <n v="-0.18"/>
    <n v="7.5166481891864464E-2"/>
    <n v="-0.10999999999999999"/>
    <x v="1"/>
  </r>
  <r>
    <x v="1"/>
    <s v="Pune(Bhosari) Br"/>
    <n v="0.32"/>
    <n v="0.13"/>
    <n v="0.36"/>
    <n v="0.33"/>
    <n v="0.33"/>
    <n v="0.29400000000000004"/>
    <n v="1.0000000000000009E-2"/>
    <n v="9.2897793299948572E-2"/>
    <n v="0"/>
    <x v="1"/>
  </r>
  <r>
    <x v="2"/>
    <s v="Ahmedabad(Maninagar) Br"/>
    <n v="0.17"/>
    <n v="0.21"/>
    <n v="0.14000000000000001"/>
    <n v="0.11"/>
    <n v="0.19"/>
    <n v="0.16400000000000001"/>
    <n v="1.999999999999999E-2"/>
    <n v="3.9749213828703556E-2"/>
    <n v="0.08"/>
    <x v="0"/>
  </r>
  <r>
    <x v="1"/>
    <s v="Pune(Nagar Road) Br"/>
    <n v="0.21"/>
    <n v="0.11"/>
    <n v="0.17"/>
    <n v="0.35"/>
    <n v="0.46"/>
    <n v="0.26"/>
    <n v="0.25"/>
    <n v="0.14247806848775008"/>
    <n v="0.11000000000000004"/>
    <x v="1"/>
  </r>
  <r>
    <x v="1"/>
    <s v="Pune(Chinchwad) Br"/>
    <n v="0.26"/>
    <n v="0.17"/>
    <n v="0.3"/>
    <n v="0.31"/>
    <n v="0.28999999999999998"/>
    <n v="0.26600000000000001"/>
    <n v="2.9999999999999971E-2"/>
    <n v="5.6833088953531258E-2"/>
    <n v="-2.0000000000000018E-2"/>
    <x v="1"/>
  </r>
  <r>
    <x v="3"/>
    <s v="Bhiwandi Br"/>
    <n v="0.39"/>
    <n v="0.21"/>
    <n v="0.33"/>
    <n v="0.44"/>
    <n v="0.44"/>
    <n v="0.36199999999999999"/>
    <n v="4.9999999999999989E-2"/>
    <n v="9.628083921528742E-2"/>
    <n v="0"/>
    <x v="1"/>
  </r>
  <r>
    <x v="0"/>
    <s v="Up (Noida Sec.18) Br"/>
    <n v="0.21"/>
    <n v="0.26"/>
    <n v="0.21"/>
    <n v="0.22"/>
    <n v="0.19"/>
    <n v="0.21799999999999997"/>
    <n v="-1.999999999999999E-2"/>
    <n v="2.5884358211089781E-2"/>
    <n v="-0.03"/>
    <x v="0"/>
  </r>
  <r>
    <x v="1"/>
    <s v="Pune(Baner) Br"/>
    <n v="0.19"/>
    <n v="0.19"/>
    <n v="0.28999999999999998"/>
    <n v="0.25"/>
    <n v="0.26"/>
    <n v="0.23599999999999999"/>
    <n v="7.0000000000000007E-2"/>
    <n v="4.4497190922574086E-2"/>
    <n v="1.0000000000000009E-2"/>
    <x v="0"/>
  </r>
  <r>
    <x v="0"/>
    <s v="Delhi(Hauz Khas)"/>
    <n v="0.56000000000000005"/>
    <n v="0.8"/>
    <n v="0.52"/>
    <n v="0.6"/>
    <n v="0.63"/>
    <n v="0.622"/>
    <n v="6.9999999999999951E-2"/>
    <n v="0.10779610382569527"/>
    <n v="3.0000000000000027E-2"/>
    <x v="2"/>
  </r>
  <r>
    <x v="0"/>
    <s v="Delhi(Rohini) Br"/>
    <n v="0.15"/>
    <n v="0.09"/>
    <n v="0.27"/>
    <n v="0.36"/>
    <n v="0.31"/>
    <n v="0.23599999999999999"/>
    <n v="0.16"/>
    <n v="0.11260550608207402"/>
    <n v="-4.9999999999999989E-2"/>
    <x v="0"/>
  </r>
  <r>
    <x v="4"/>
    <s v="Ts(Kondapur)"/>
    <n v="0.17"/>
    <n v="0.14000000000000001"/>
    <n v="0.13"/>
    <n v="0.42"/>
    <n v="0.56000000000000005"/>
    <n v="0.28400000000000003"/>
    <n v="0.39"/>
    <n v="0.19501282009139803"/>
    <n v="0.14000000000000007"/>
    <x v="1"/>
  </r>
  <r>
    <x v="0"/>
    <s v="Up(Raj Nagar Dc) Br"/>
    <n v="0.16"/>
    <n v="0.26"/>
    <n v="0.27"/>
    <n v="0.41"/>
    <n v="0.4"/>
    <n v="0.3"/>
    <n v="0.24000000000000002"/>
    <n v="0.10511898020814321"/>
    <n v="-9.9999999999999534E-3"/>
    <x v="1"/>
  </r>
  <r>
    <x v="1"/>
    <s v="Pune(Station Rd) Br"/>
    <n v="0.14000000000000001"/>
    <n v="0.36"/>
    <n v="0.19"/>
    <n v="0.21"/>
    <n v="0.13"/>
    <n v="0.20599999999999996"/>
    <n v="-1.0000000000000009E-2"/>
    <n v="9.2357999112150674E-2"/>
    <n v="-7.9999999999999988E-2"/>
    <x v="0"/>
  </r>
  <r>
    <x v="3"/>
    <s v="Panvel Br"/>
    <n v="0.22"/>
    <n v="0.18"/>
    <n v="0.27"/>
    <n v="0.18"/>
    <n v="0.18"/>
    <n v="0.20600000000000002"/>
    <n v="-4.0000000000000008E-2"/>
    <n v="3.9749213828703556E-2"/>
    <n v="0"/>
    <x v="0"/>
  </r>
  <r>
    <x v="5"/>
    <s v="Opera House Br"/>
    <n v="0.24"/>
    <n v="0.22"/>
    <n v="0.2"/>
    <n v="0.21"/>
    <n v="0.23"/>
    <n v="0.21999999999999997"/>
    <n v="-9.9999999999999811E-3"/>
    <n v="1.5811388300841892E-2"/>
    <n v="2.0000000000000018E-2"/>
    <x v="0"/>
  </r>
  <r>
    <x v="0"/>
    <s v="Delhi(Daryaganj)"/>
    <n v="0.32"/>
    <n v="0.39"/>
    <n v="0.31"/>
    <n v="0.52"/>
    <n v="0.39"/>
    <n v="0.38600000000000001"/>
    <n v="7.0000000000000007E-2"/>
    <n v="8.3845095265018058E-2"/>
    <n v="-0.13"/>
    <x v="1"/>
  </r>
  <r>
    <x v="4"/>
    <s v="Ts(Vivekananda Nagar)"/>
    <n v="0.04"/>
    <n v="0"/>
    <n v="0.08"/>
    <n v="0.31"/>
    <n v="0.31"/>
    <n v="0.14799999999999999"/>
    <n v="0.27"/>
    <n v="0.15056560032092323"/>
    <n v="0"/>
    <x v="3"/>
  </r>
  <r>
    <x v="5"/>
    <s v="Chakala Andheri Br"/>
    <n v="0.06"/>
    <n v="0.17"/>
    <n v="0.17"/>
    <n v="0.2"/>
    <n v="0.18"/>
    <n v="0.156"/>
    <n v="0.12"/>
    <n v="5.5045435778091581E-2"/>
    <n v="-2.0000000000000018E-2"/>
    <x v="0"/>
  </r>
  <r>
    <x v="3"/>
    <s v="Ghodbunder Br"/>
    <n v="0.11"/>
    <n v="0.14000000000000001"/>
    <n v="0.21"/>
    <n v="0.16"/>
    <n v="0.31"/>
    <n v="0.186"/>
    <n v="0.2"/>
    <n v="7.8294316524253602E-2"/>
    <n v="0.15"/>
    <x v="0"/>
  </r>
  <r>
    <x v="0"/>
    <s v="Haryana(Mewla M.) Br"/>
    <n v="0.15"/>
    <n v="0.36"/>
    <n v="0.33"/>
    <n v="0.4"/>
    <n v="0.52"/>
    <n v="0.35200000000000004"/>
    <n v="0.37"/>
    <n v="0.1340522286275016"/>
    <n v="0.12"/>
    <x v="1"/>
  </r>
  <r>
    <x v="3"/>
    <s v="Virar Br"/>
    <n v="0.06"/>
    <n v="0.11"/>
    <n v="0.16"/>
    <n v="0.1"/>
    <n v="0.24"/>
    <n v="0.13399999999999998"/>
    <n v="0.18"/>
    <n v="6.9137544069774445E-2"/>
    <n v="0.13999999999999999"/>
    <x v="3"/>
  </r>
  <r>
    <x v="0"/>
    <s v="Haryana(New Faridabad)"/>
    <n v="0.04"/>
    <n v="0"/>
    <n v="0.12"/>
    <n v="0.22"/>
    <n v="0.36"/>
    <n v="0.14799999999999999"/>
    <n v="0.32"/>
    <n v="0.14532721699667961"/>
    <n v="0.13999999999999999"/>
    <x v="3"/>
  </r>
  <r>
    <x v="0"/>
    <s v="Delhi(Patel Nagar) Br"/>
    <n v="0.4"/>
    <n v="0.18"/>
    <n v="0.28000000000000003"/>
    <n v="0.27"/>
    <n v="0.46"/>
    <n v="0.318"/>
    <n v="0.06"/>
    <n v="0.11144505372604033"/>
    <n v="0.19"/>
    <x v="1"/>
  </r>
  <r>
    <x v="0"/>
    <s v="Delhi(Roop Nagar)"/>
    <n v="0.17"/>
    <n v="0.22"/>
    <n v="0.19"/>
    <n v="0.31"/>
    <n v="0.17"/>
    <n v="0.21200000000000002"/>
    <n v="0"/>
    <n v="5.848076606885378E-2"/>
    <n v="-0.13999999999999999"/>
    <x v="0"/>
  </r>
  <r>
    <x v="0"/>
    <s v="Delhi(Rajouri Garden) Br"/>
    <n v="0.36"/>
    <n v="0.22"/>
    <n v="0.25"/>
    <n v="0.26"/>
    <n v="0.21"/>
    <n v="0.25999999999999995"/>
    <n v="-0.15"/>
    <n v="5.9581876439065019E-2"/>
    <n v="-5.0000000000000017E-2"/>
    <x v="1"/>
  </r>
  <r>
    <x v="0"/>
    <s v="Delhi(Kalkaji) Br"/>
    <n v="0"/>
    <n v="0.11"/>
    <n v="0.27"/>
    <n v="0.36"/>
    <n v="0.39"/>
    <n v="0.22599999999999998"/>
    <n v="0.39"/>
    <n v="0.16682325976913417"/>
    <n v="3.0000000000000027E-2"/>
    <x v="0"/>
  </r>
  <r>
    <x v="0"/>
    <s v="Delhi(Karol Bagh) Br"/>
    <n v="0.12"/>
    <n v="0.41"/>
    <n v="0.19"/>
    <n v="0.25"/>
    <n v="0.43"/>
    <n v="0.27999999999999997"/>
    <n v="0.31"/>
    <n v="0.13601470508735444"/>
    <n v="0.18"/>
    <x v="1"/>
  </r>
  <r>
    <x v="1"/>
    <s v="Pune(Dange Chowk)"/>
    <n v="0"/>
    <n v="0"/>
    <n v="0.56000000000000005"/>
    <n v="0.7"/>
    <n v="0.57999999999999996"/>
    <n v="0.36799999999999999"/>
    <n v="0.57999999999999996"/>
    <n v="0.34017642481512445"/>
    <n v="-0.12"/>
    <x v="1"/>
  </r>
  <r>
    <x v="0"/>
    <s v="Delhi(Lajpatnagar) Br"/>
    <n v="0.21"/>
    <n v="0.09"/>
    <n v="7.0000000000000007E-2"/>
    <n v="0.1"/>
    <n v="0.18"/>
    <n v="0.12999999999999998"/>
    <n v="-0.03"/>
    <n v="6.1237243569579478E-2"/>
    <n v="7.9999999999999988E-2"/>
    <x v="3"/>
  </r>
  <r>
    <x v="1"/>
    <s v="Pune(Rahatni) Br"/>
    <n v="0.13"/>
    <n v="0.22"/>
    <n v="0.16"/>
    <n v="0.19"/>
    <n v="0.23"/>
    <n v="0.186"/>
    <n v="0.1"/>
    <n v="4.1593268686170956E-2"/>
    <n v="4.0000000000000008E-2"/>
    <x v="0"/>
  </r>
  <r>
    <x v="0"/>
    <s v="Delhi(Dwarka) Br"/>
    <n v="0.24"/>
    <n v="0.21"/>
    <n v="0.28000000000000003"/>
    <n v="0.31"/>
    <n v="0.36"/>
    <n v="0.27999999999999997"/>
    <n v="0.12"/>
    <n v="5.8736700622353727E-2"/>
    <n v="4.9999999999999989E-2"/>
    <x v="1"/>
  </r>
  <r>
    <x v="5"/>
    <s v="MAHIM(VS Next)"/>
    <n v="0"/>
    <n v="0"/>
    <n v="0"/>
    <n v="0"/>
    <n v="0"/>
    <n v="0"/>
    <n v="0"/>
    <n v="0"/>
    <n v="0"/>
    <x v="3"/>
  </r>
  <r>
    <x v="0"/>
    <s v="Haryana(Faridabad) Br"/>
    <n v="0.08"/>
    <n v="0.15"/>
    <n v="0.33"/>
    <n v="0.25"/>
    <n v="0.23"/>
    <n v="0.20800000000000002"/>
    <n v="0.15000000000000002"/>
    <n v="9.6020831073262383E-2"/>
    <n v="-1.999999999999999E-2"/>
    <x v="0"/>
  </r>
  <r>
    <x v="0"/>
    <s v="Delhi(Model Town Iii) Br"/>
    <n v="0.28999999999999998"/>
    <n v="0.26"/>
    <n v="0.28999999999999998"/>
    <n v="0.26"/>
    <n v="0.46"/>
    <n v="0.312"/>
    <n v="0.17000000000000004"/>
    <n v="8.4083292038311594E-2"/>
    <n v="0.2"/>
    <x v="1"/>
  </r>
  <r>
    <x v="4"/>
    <s v="Ts(Nallakunta)"/>
    <n v="0.16"/>
    <n v="0"/>
    <n v="0.1"/>
    <n v="0.16"/>
    <n v="0.28999999999999998"/>
    <n v="0.14199999999999999"/>
    <n v="0.12999999999999998"/>
    <n v="0.10545141061171252"/>
    <n v="0.12999999999999998"/>
    <x v="3"/>
  </r>
  <r>
    <x v="3"/>
    <s v="Vasai Br"/>
    <n v="0.12"/>
    <n v="0.25"/>
    <n v="7.0000000000000007E-2"/>
    <n v="0.1"/>
    <n v="7.0000000000000007E-2"/>
    <n v="0.12200000000000003"/>
    <n v="-4.9999999999999989E-2"/>
    <n v="7.4632432628181131E-2"/>
    <n v="-0.03"/>
    <x v="3"/>
  </r>
  <r>
    <x v="0"/>
    <s v="Delhi(Paschim Vihar)"/>
    <n v="0.34"/>
    <n v="0.33"/>
    <n v="0.3"/>
    <n v="0.27"/>
    <n v="0.35"/>
    <n v="0.31799999999999995"/>
    <n v="9.9999999999999534E-3"/>
    <n v="3.2710854467592247E-2"/>
    <n v="7.999999999999996E-2"/>
    <x v="1"/>
  </r>
  <r>
    <x v="3"/>
    <s v="Dombivli Br"/>
    <n v="0.04"/>
    <n v="0.43"/>
    <n v="0.2"/>
    <n v="0.19"/>
    <n v="0.21"/>
    <n v="0.21399999999999997"/>
    <n v="0.16999999999999998"/>
    <n v="0.13939153489362263"/>
    <n v="1.999999999999999E-2"/>
    <x v="0"/>
  </r>
  <r>
    <x v="3"/>
    <s v="Mira Road Br"/>
    <n v="7.0000000000000007E-2"/>
    <n v="0.22"/>
    <n v="0.28000000000000003"/>
    <n v="0.27"/>
    <n v="0.2"/>
    <n v="0.20800000000000002"/>
    <n v="0.13"/>
    <n v="8.4083292038311636E-2"/>
    <n v="-7.0000000000000007E-2"/>
    <x v="0"/>
  </r>
  <r>
    <x v="2"/>
    <s v="Surat(Ved Road)"/>
    <n v="0.08"/>
    <n v="0.08"/>
    <n v="0.13"/>
    <n v="0.28000000000000003"/>
    <n v="0.28999999999999998"/>
    <n v="0.17200000000000001"/>
    <n v="0.20999999999999996"/>
    <n v="0.10521406750050108"/>
    <n v="9.9999999999999534E-3"/>
    <x v="0"/>
  </r>
  <r>
    <x v="3"/>
    <s v="Kalyan Br"/>
    <n v="0.05"/>
    <n v="0.09"/>
    <n v="0.13"/>
    <n v="0.18"/>
    <n v="0.2"/>
    <n v="0.13"/>
    <n v="0.15000000000000002"/>
    <n v="6.2048368229954305E-2"/>
    <n v="2.0000000000000018E-2"/>
    <x v="3"/>
  </r>
  <r>
    <x v="2"/>
    <s v="Ahmedabad(Dev Arc) Br"/>
    <n v="0.2"/>
    <n v="0.24"/>
    <n v="0.14000000000000001"/>
    <n v="0.18"/>
    <n v="0.25"/>
    <n v="0.20200000000000001"/>
    <n v="4.9999999999999989E-2"/>
    <n v="4.4944410108488472E-2"/>
    <n v="7.0000000000000007E-2"/>
    <x v="0"/>
  </r>
  <r>
    <x v="2"/>
    <s v="Ahmedabad(Bopal)"/>
    <n v="0.16"/>
    <n v="0.14000000000000001"/>
    <n v="0.16"/>
    <n v="0.31"/>
    <n v="0.35"/>
    <n v="0.22400000000000003"/>
    <n v="0.18999999999999997"/>
    <n v="9.8132563402776679E-2"/>
    <n v="3.999999999999998E-2"/>
    <x v="0"/>
  </r>
  <r>
    <x v="0"/>
    <s v="Delhi(Vikas Marg) Br"/>
    <n v="0.31"/>
    <n v="0.28000000000000003"/>
    <n v="0.4"/>
    <n v="0.37"/>
    <n v="0.32"/>
    <n v="0.33600000000000002"/>
    <n v="1.0000000000000009E-2"/>
    <n v="4.8270073544588669E-2"/>
    <n v="-4.9999999999999989E-2"/>
    <x v="1"/>
  </r>
  <r>
    <x v="1"/>
    <s v="Pune(Dhankawadi-Satara Rd)"/>
    <n v="0.13"/>
    <n v="0.21"/>
    <n v="0.2"/>
    <n v="0.28000000000000003"/>
    <n v="0.12"/>
    <n v="0.188"/>
    <n v="-1.0000000000000009E-2"/>
    <n v="6.5345237010818083E-2"/>
    <n v="-0.16000000000000003"/>
    <x v="0"/>
  </r>
  <r>
    <x v="3"/>
    <s v="Vashi Br"/>
    <n v="0.11"/>
    <n v="0.15"/>
    <n v="0.11"/>
    <n v="0.15"/>
    <n v="0.11"/>
    <n v="0.126"/>
    <n v="0"/>
    <n v="2.1908902300206593E-2"/>
    <n v="-3.9999999999999994E-2"/>
    <x v="3"/>
  </r>
  <r>
    <x v="4"/>
    <s v="Ts(Jubilee Hills)"/>
    <n v="0.14000000000000001"/>
    <n v="7.0000000000000007E-2"/>
    <n v="0.04"/>
    <n v="0.15"/>
    <n v="0"/>
    <n v="0.08"/>
    <n v="-0.14000000000000001"/>
    <n v="6.442049363362562E-2"/>
    <n v="-0.15"/>
    <x v="3"/>
  </r>
  <r>
    <x v="5"/>
    <s v="Linking Road Br"/>
    <n v="0.31"/>
    <n v="0.3"/>
    <n v="0.38"/>
    <n v="0.42"/>
    <n v="0.04"/>
    <n v="0.28999999999999998"/>
    <n v="-0.27"/>
    <n v="0.14832396974191334"/>
    <n v="-0.38"/>
    <x v="1"/>
  </r>
  <r>
    <x v="1"/>
    <s v="Pune(Kothrud) Br"/>
    <n v="0.37"/>
    <n v="0.28999999999999998"/>
    <n v="0.24"/>
    <n v="0.3"/>
    <n v="0.28999999999999998"/>
    <n v="0.29799999999999999"/>
    <n v="-8.0000000000000016E-2"/>
    <n v="4.6583258795408373E-2"/>
    <n v="-1.0000000000000009E-2"/>
    <x v="1"/>
  </r>
  <r>
    <x v="4"/>
    <s v="Ts(Warangal)"/>
    <n v="0"/>
    <n v="0"/>
    <n v="0.04"/>
    <n v="0.03"/>
    <n v="0.13"/>
    <n v="0.04"/>
    <n v="0.13"/>
    <n v="5.3385391260156553E-2"/>
    <n v="0.1"/>
    <x v="3"/>
  </r>
  <r>
    <x v="2"/>
    <s v="Surat(Varachha) Br"/>
    <n v="0.16"/>
    <n v="0.18"/>
    <n v="0.16"/>
    <n v="0.2"/>
    <n v="0.2"/>
    <n v="0.18"/>
    <n v="4.0000000000000008E-2"/>
    <n v="2.0000000000000004E-2"/>
    <n v="0"/>
    <x v="0"/>
  </r>
  <r>
    <x v="3"/>
    <s v="Palghar"/>
    <n v="0.16"/>
    <n v="0.28999999999999998"/>
    <n v="0.25"/>
    <n v="0.3"/>
    <n v="0.33"/>
    <n v="0.26600000000000001"/>
    <n v="0.17"/>
    <n v="6.5802735505448295E-2"/>
    <n v="3.0000000000000027E-2"/>
    <x v="1"/>
  </r>
  <r>
    <x v="5"/>
    <s v="Andheri Br"/>
    <n v="0.15"/>
    <n v="0.43"/>
    <n v="0.34"/>
    <n v="0.37"/>
    <n v="0.39"/>
    <n v="0.33600000000000002"/>
    <n v="0.24000000000000002"/>
    <n v="0.10899541274750958"/>
    <n v="2.0000000000000018E-2"/>
    <x v="1"/>
  </r>
  <r>
    <x v="1"/>
    <s v="Pune(S Bapat Rd)"/>
    <n v="0.27"/>
    <n v="0.28999999999999998"/>
    <n v="0.26"/>
    <n v="0.33"/>
    <n v="0.54"/>
    <n v="0.33800000000000002"/>
    <n v="0.27"/>
    <n v="0.11606032913963316"/>
    <n v="0.21000000000000002"/>
    <x v="1"/>
  </r>
  <r>
    <x v="5"/>
    <s v="Borivali Br"/>
    <n v="0.08"/>
    <n v="0.19"/>
    <n v="0.31"/>
    <n v="0.31"/>
    <n v="0.26"/>
    <n v="0.23000000000000004"/>
    <n v="0.18"/>
    <n v="9.7211110476117829E-2"/>
    <n v="-4.9999999999999989E-2"/>
    <x v="0"/>
  </r>
  <r>
    <x v="0"/>
    <s v="Up(Indirapuram) Br"/>
    <n v="0.03"/>
    <n v="0.15"/>
    <n v="0.18"/>
    <n v="0.24"/>
    <n v="0.13"/>
    <n v="0.14599999999999999"/>
    <n v="0.1"/>
    <n v="7.7006493232713857E-2"/>
    <n v="-0.10999999999999999"/>
    <x v="3"/>
  </r>
  <r>
    <x v="5"/>
    <s v="Goregaon (W) Br"/>
    <n v="0.17"/>
    <n v="0.28999999999999998"/>
    <n v="0.28999999999999998"/>
    <n v="0.26"/>
    <n v="0.44"/>
    <n v="0.28999999999999998"/>
    <n v="0.27"/>
    <n v="9.7211110476117898E-2"/>
    <n v="0.18"/>
    <x v="1"/>
  </r>
  <r>
    <x v="4"/>
    <s v="Ts(Bhel)"/>
    <n v="0.17"/>
    <n v="0.15"/>
    <n v="7.0000000000000007E-2"/>
    <n v="0.23"/>
    <n v="0.83"/>
    <n v="0.28999999999999998"/>
    <n v="0.65999999999999992"/>
    <n v="0.30724582991474431"/>
    <n v="0.6"/>
    <x v="1"/>
  </r>
  <r>
    <x v="1"/>
    <s v="Pune(Satara Rd) Br"/>
    <n v="0.26"/>
    <n v="0.45"/>
    <n v="0.27"/>
    <n v="0.22"/>
    <n v="0.06"/>
    <n v="0.252"/>
    <n v="-0.2"/>
    <n v="0.13917614738165443"/>
    <n v="-0.16"/>
    <x v="1"/>
  </r>
  <r>
    <x v="5"/>
    <s v="Prabhadevi Br"/>
    <n v="0.19"/>
    <n v="0.24"/>
    <n v="0.18"/>
    <n v="0.28000000000000003"/>
    <n v="0.3"/>
    <n v="0.23799999999999999"/>
    <n v="0.10999999999999999"/>
    <n v="5.3103672189407043E-2"/>
    <n v="1.9999999999999962E-2"/>
    <x v="0"/>
  </r>
  <r>
    <x v="0"/>
    <s v="Delhi(Defence Enclave-Palam) Br"/>
    <n v="0.31"/>
    <n v="0.25"/>
    <n v="0.32"/>
    <n v="0.41"/>
    <n v="0.45"/>
    <n v="0.34799999999999998"/>
    <n v="0.14000000000000001"/>
    <n v="8.074651695274522E-2"/>
    <n v="4.0000000000000036E-2"/>
    <x v="1"/>
  </r>
  <r>
    <x v="0"/>
    <s v="Delhi(Shahdara) Br"/>
    <n v="0.38"/>
    <n v="0.33"/>
    <n v="0.39"/>
    <n v="0.25"/>
    <n v="0.25"/>
    <n v="0.32"/>
    <n v="-0.13"/>
    <n v="6.7823299831252432E-2"/>
    <n v="0"/>
    <x v="1"/>
  </r>
  <r>
    <x v="1"/>
    <s v="Pune(Kondhawa)"/>
    <n v="0.28000000000000003"/>
    <n v="0.35"/>
    <n v="0.35"/>
    <n v="0.61"/>
    <n v="0.48"/>
    <n v="0.41399999999999998"/>
    <n v="0.19999999999999996"/>
    <n v="0.13126309458488331"/>
    <n v="-0.13"/>
    <x v="2"/>
  </r>
  <r>
    <x v="2"/>
    <s v="Ahmedabad(Odhav) Br"/>
    <n v="0.1"/>
    <n v="7.0000000000000007E-2"/>
    <n v="0.17"/>
    <n v="0.06"/>
    <n v="0.46"/>
    <n v="0.17200000000000001"/>
    <n v="0.36"/>
    <n v="0.16664333169977127"/>
    <n v="0.4"/>
    <x v="0"/>
  </r>
  <r>
    <x v="4"/>
    <s v="Ts(Kothapet)"/>
    <n v="0.15"/>
    <n v="0.08"/>
    <n v="0.2"/>
    <n v="0.32"/>
    <n v="0.25"/>
    <n v="0.2"/>
    <n v="0.1"/>
    <n v="9.1923881554251172E-2"/>
    <n v="-7.0000000000000007E-2"/>
    <x v="0"/>
  </r>
  <r>
    <x v="0"/>
    <s v="Delhi(Mahavir Enclave)"/>
    <n v="0.2"/>
    <n v="0.36"/>
    <n v="0.23"/>
    <n v="0.28000000000000003"/>
    <n v="0.43"/>
    <n v="0.3"/>
    <n v="0.22999999999999998"/>
    <n v="9.4604439642122506E-2"/>
    <n v="0.14999999999999997"/>
    <x v="1"/>
  </r>
  <r>
    <x v="1"/>
    <s v="Pune(Hinjewadi) Br"/>
    <n v="0.03"/>
    <n v="0.23"/>
    <n v="0.27"/>
    <n v="0.38"/>
    <n v="0.21"/>
    <n v="0.22400000000000003"/>
    <n v="0.18"/>
    <n v="0.12680693987317879"/>
    <n v="-0.17"/>
    <x v="0"/>
  </r>
  <r>
    <x v="1"/>
    <s v="Pune(Hadapsar)"/>
    <n v="0.6"/>
    <n v="0.67"/>
    <n v="0.71"/>
    <n v="0.62"/>
    <n v="0.33"/>
    <n v="0.58600000000000008"/>
    <n v="-0.26999999999999996"/>
    <n v="0.14943225890014517"/>
    <n v="-0.28999999999999998"/>
    <x v="2"/>
  </r>
  <r>
    <x v="1"/>
    <s v="Pune(Solapur Rd) Br"/>
    <n v="7.0000000000000007E-2"/>
    <n v="0.14000000000000001"/>
    <n v="0.19"/>
    <n v="0.31"/>
    <n v="0.3"/>
    <n v="0.20200000000000001"/>
    <n v="0.22999999999999998"/>
    <n v="0.10329569206893383"/>
    <n v="-1.0000000000000009E-2"/>
    <x v="0"/>
  </r>
  <r>
    <x v="0"/>
    <s v="Haryana(Jacobpura) Br"/>
    <n v="0.02"/>
    <n v="0.22"/>
    <n v="0.13"/>
    <n v="0.25"/>
    <n v="0.27"/>
    <n v="0.17799999999999999"/>
    <n v="0.25"/>
    <n v="0.10329569206893383"/>
    <n v="2.0000000000000018E-2"/>
    <x v="0"/>
  </r>
  <r>
    <x v="3"/>
    <s v="Belapur Br"/>
    <n v="0.17"/>
    <n v="0.28999999999999998"/>
    <n v="0.17"/>
    <n v="0.16"/>
    <n v="0.04"/>
    <n v="0.16600000000000001"/>
    <n v="-0.13"/>
    <n v="8.848728722251574E-2"/>
    <n v="-0.12"/>
    <x v="0"/>
  </r>
  <r>
    <x v="2"/>
    <s v="Surat(Bhatar)"/>
    <n v="0.12"/>
    <n v="0.11"/>
    <n v="0.14000000000000001"/>
    <n v="0.04"/>
    <n v="0.22"/>
    <n v="0.126"/>
    <n v="0.1"/>
    <n v="6.4652919500978429E-2"/>
    <n v="0.18"/>
    <x v="3"/>
  </r>
  <r>
    <x v="5"/>
    <s v="Santacruz Br"/>
    <n v="0.01"/>
    <n v="0.1"/>
    <n v="0.1"/>
    <n v="0.24"/>
    <n v="0.6"/>
    <n v="0.21000000000000002"/>
    <n v="0.59"/>
    <n v="0.23302360395462085"/>
    <n v="0.36"/>
    <x v="0"/>
  </r>
  <r>
    <x v="5"/>
    <s v="Bhandup Br"/>
    <n v="0.11"/>
    <n v="0.13"/>
    <n v="0.11"/>
    <n v="0.18"/>
    <n v="0.23"/>
    <n v="0.152"/>
    <n v="0.12000000000000001"/>
    <n v="5.2153619241621228E-2"/>
    <n v="5.0000000000000017E-2"/>
    <x v="0"/>
  </r>
  <r>
    <x v="0"/>
    <s v="Delhi(Uttam Nagar) Br"/>
    <n v="0.23"/>
    <n v="0.11"/>
    <n v="0.22"/>
    <n v="0.38"/>
    <n v="0.28999999999999998"/>
    <n v="0.246"/>
    <n v="5.999999999999997E-2"/>
    <n v="9.9146356463563595E-2"/>
    <n v="-9.0000000000000024E-2"/>
    <x v="0"/>
  </r>
  <r>
    <x v="5"/>
    <s v="Goregaon (E) Br"/>
    <n v="7.0000000000000007E-2"/>
    <n v="0.25"/>
    <n v="0.1"/>
    <n v="0.16"/>
    <n v="0.11"/>
    <n v="0.13800000000000001"/>
    <n v="3.9999999999999994E-2"/>
    <n v="7.0498226928058239E-2"/>
    <n v="-0.05"/>
    <x v="3"/>
  </r>
  <r>
    <x v="2"/>
    <s v="Ahmedabad(Ashram Rd) Br"/>
    <n v="0.13"/>
    <n v="0.23"/>
    <n v="0.1"/>
    <n v="0.06"/>
    <n v="0.16"/>
    <n v="0.13600000000000001"/>
    <n v="0.03"/>
    <n v="6.4265076052238496E-2"/>
    <n v="0.1"/>
    <x v="3"/>
  </r>
  <r>
    <x v="4"/>
    <s v="Ts(Boduppal)"/>
    <n v="0.1"/>
    <n v="0.04"/>
    <n v="0.11"/>
    <n v="0.24"/>
    <n v="0.22"/>
    <n v="0.14199999999999999"/>
    <n v="0.12"/>
    <n v="8.4970583144991993E-2"/>
    <n v="-1.999999999999999E-2"/>
    <x v="3"/>
  </r>
  <r>
    <x v="3"/>
    <s v="Nallasopara Br"/>
    <n v="0.03"/>
    <n v="0.05"/>
    <n v="0.02"/>
    <n v="0.08"/>
    <n v="0.25"/>
    <n v="8.5999999999999993E-2"/>
    <n v="0.22"/>
    <n v="9.4498677239419598E-2"/>
    <n v="0.16999999999999998"/>
    <x v="3"/>
  </r>
  <r>
    <x v="0"/>
    <s v="Delhi(Budh Vihar)"/>
    <n v="0.19"/>
    <n v="0.42"/>
    <n v="0.45"/>
    <n v="0.44"/>
    <n v="0.45"/>
    <n v="0.39"/>
    <n v="0.26"/>
    <n v="0.11247221879202002"/>
    <n v="1.0000000000000009E-2"/>
    <x v="1"/>
  </r>
  <r>
    <x v="4"/>
    <s v="Ts(Karmanghat)"/>
    <n v="0.11"/>
    <n v="0.08"/>
    <n v="0.16"/>
    <n v="0.18"/>
    <n v="0.1"/>
    <n v="0.126"/>
    <n v="-9.999999999999995E-3"/>
    <n v="4.2190046219457933E-2"/>
    <n v="-7.9999999999999988E-2"/>
    <x v="3"/>
  </r>
  <r>
    <x v="0"/>
    <s v="Delhi(Nangloi)"/>
    <n v="0.3"/>
    <n v="0.37"/>
    <n v="0.24"/>
    <n v="0.31"/>
    <n v="0"/>
    <n v="0.24399999999999999"/>
    <n v="-0.3"/>
    <n v="0.1439791651594077"/>
    <n v="-0.31"/>
    <x v="0"/>
  </r>
  <r>
    <x v="4"/>
    <s v="Ts(Kompally)"/>
    <n v="0.02"/>
    <n v="0.15"/>
    <n v="0.11"/>
    <n v="0.24"/>
    <n v="0.25"/>
    <n v="0.154"/>
    <n v="0.23"/>
    <n v="9.5551033484730069E-2"/>
    <n v="1.0000000000000009E-2"/>
    <x v="0"/>
  </r>
  <r>
    <x v="3"/>
    <s v="Currey Road"/>
    <n v="0"/>
    <n v="0"/>
    <n v="0"/>
    <n v="0"/>
    <n v="0"/>
    <n v="0"/>
    <n v="0"/>
    <n v="0"/>
    <n v="0"/>
    <x v="3"/>
  </r>
  <r>
    <x v="2"/>
    <s v="Surat(Mota Varachha)"/>
    <n v="0.09"/>
    <n v="0"/>
    <n v="0.14000000000000001"/>
    <n v="0.15"/>
    <n v="0.23"/>
    <n v="0.122"/>
    <n v="0.14000000000000001"/>
    <n v="8.467585252006618E-2"/>
    <n v="8.0000000000000016E-2"/>
    <x v="3"/>
  </r>
  <r>
    <x v="5"/>
    <s v="Chembur Br"/>
    <n v="7.0000000000000007E-2"/>
    <n v="0.17"/>
    <n v="0.11"/>
    <n v="0.16"/>
    <n v="0.06"/>
    <n v="0.11400000000000002"/>
    <n v="-1.0000000000000009E-2"/>
    <n v="5.0299105359837178E-2"/>
    <n v="-0.1"/>
    <x v="3"/>
  </r>
  <r>
    <x v="2"/>
    <s v="Ahmedabad(Krishna Nagar) Br"/>
    <n v="0.04"/>
    <n v="0.28000000000000003"/>
    <n v="0.03"/>
    <n v="7.0000000000000007E-2"/>
    <n v="0.23"/>
    <n v="0.13"/>
    <n v="0.19"/>
    <n v="0.11640446726822817"/>
    <n v="0.16"/>
    <x v="3"/>
  </r>
  <r>
    <x v="4"/>
    <s v="Ts(Attapur)"/>
    <n v="0.03"/>
    <n v="0.11"/>
    <n v="0.02"/>
    <n v="0.13"/>
    <n v="0.28999999999999998"/>
    <n v="0.11600000000000002"/>
    <n v="0.26"/>
    <n v="0.10853570840972106"/>
    <n v="0.15999999999999998"/>
    <x v="3"/>
  </r>
  <r>
    <x v="0"/>
    <s v="Delhi(Pitampura) Br"/>
    <n v="0.2"/>
    <n v="0.17"/>
    <n v="0.19"/>
    <n v="0.28000000000000003"/>
    <n v="0.15"/>
    <n v="0.19800000000000001"/>
    <n v="-5.0000000000000017E-2"/>
    <n v="4.9699094559156637E-2"/>
    <n v="-0.13000000000000003"/>
    <x v="0"/>
  </r>
  <r>
    <x v="0"/>
    <s v="Delhi(Narela)"/>
    <n v="0.32"/>
    <n v="0"/>
    <n v="0.43"/>
    <n v="0.28999999999999998"/>
    <n v="0.75"/>
    <n v="0.35799999999999998"/>
    <n v="0.43"/>
    <n v="0.27068431797945003"/>
    <n v="0.46"/>
    <x v="1"/>
  </r>
  <r>
    <x v="2"/>
    <s v="Surat(Rander Rd) Br"/>
    <n v="0.23"/>
    <n v="0.21"/>
    <n v="0.17"/>
    <n v="0.14000000000000001"/>
    <n v="0.3"/>
    <n v="0.21000000000000002"/>
    <n v="6.9999999999999979E-2"/>
    <n v="6.1237243569579478E-2"/>
    <n v="0.15999999999999998"/>
    <x v="0"/>
  </r>
  <r>
    <x v="0"/>
    <s v="Delhi(Nawada)"/>
    <n v="7.0000000000000007E-2"/>
    <n v="0.33"/>
    <n v="0.17"/>
    <n v="0.2"/>
    <n v="0.05"/>
    <n v="0.16400000000000001"/>
    <n v="-2.0000000000000004E-2"/>
    <n v="0.11260550608207399"/>
    <n v="-0.15000000000000002"/>
    <x v="0"/>
  </r>
  <r>
    <x v="4"/>
    <s v="Ts(Tolichowki- Aditya Ngr)"/>
    <n v="0.21"/>
    <n v="0.09"/>
    <n v="0.11"/>
    <n v="0.17"/>
    <n v="0.31"/>
    <n v="0.17799999999999999"/>
    <n v="0.1"/>
    <n v="8.786353054595529E-2"/>
    <n v="0.13999999999999999"/>
    <x v="0"/>
  </r>
  <r>
    <x v="4"/>
    <s v="Ts(Paradise Circle)"/>
    <n v="0.18"/>
    <n v="0.2"/>
    <n v="0.11"/>
    <n v="0.22"/>
    <n v="0.15"/>
    <n v="0.17199999999999999"/>
    <n v="-0.03"/>
    <n v="4.3243496620879347E-2"/>
    <n v="-7.0000000000000007E-2"/>
    <x v="0"/>
  </r>
  <r>
    <x v="4"/>
    <s v="Ts(Shah Ali Banda)"/>
    <n v="0.04"/>
    <n v="0.17"/>
    <n v="0.11"/>
    <n v="0.14000000000000001"/>
    <n v="0.18"/>
    <n v="0.128"/>
    <n v="0.13999999999999999"/>
    <n v="5.6302753041036983E-2"/>
    <n v="3.999999999999998E-2"/>
    <x v="3"/>
  </r>
  <r>
    <x v="2"/>
    <s v="Ahmedabad(Shahi Baug) Br"/>
    <n v="0.02"/>
    <n v="0.18"/>
    <n v="0.1"/>
    <n v="0.11"/>
    <n v="0.32"/>
    <n v="0.14599999999999999"/>
    <n v="0.3"/>
    <n v="0.11260550608207399"/>
    <n v="0.21000000000000002"/>
    <x v="3"/>
  </r>
  <r>
    <x v="4"/>
    <s v="Ts(Mehdipatnam)"/>
    <n v="7.0000000000000007E-2"/>
    <n v="0"/>
    <n v="0"/>
    <n v="0.32"/>
    <n v="0.33"/>
    <n v="0.14399999999999999"/>
    <n v="0.26"/>
    <n v="0.16772000476985446"/>
    <n v="1.0000000000000009E-2"/>
    <x v="3"/>
  </r>
  <r>
    <x v="2"/>
    <s v="Surat Br"/>
    <n v="0.05"/>
    <n v="0.06"/>
    <n v="0.16"/>
    <n v="0.15"/>
    <n v="0.2"/>
    <n v="0.12400000000000003"/>
    <n v="0.15000000000000002"/>
    <n v="6.5802735505448351E-2"/>
    <n v="5.0000000000000017E-2"/>
    <x v="3"/>
  </r>
  <r>
    <x v="4"/>
    <s v="Ts(Sun City)"/>
    <n v="0"/>
    <n v="0.08"/>
    <n v="0.18"/>
    <n v="0.36"/>
    <n v="0.2"/>
    <n v="0.16400000000000001"/>
    <n v="0.2"/>
    <n v="0.13594116374373141"/>
    <n v="-0.15999999999999998"/>
    <x v="0"/>
  </r>
  <r>
    <x v="2"/>
    <s v="Gandhinagar(Sargasan)"/>
    <n v="0.03"/>
    <n v="0"/>
    <n v="0.01"/>
    <n v="0.02"/>
    <n v="0.2"/>
    <n v="5.2000000000000005E-2"/>
    <n v="0.17"/>
    <n v="8.3486525858967209E-2"/>
    <n v="0.18000000000000002"/>
    <x v="3"/>
  </r>
  <r>
    <x v="2"/>
    <s v="Ahmedabad(Chandkheda Rd) Br"/>
    <n v="0.17"/>
    <n v="0.05"/>
    <n v="0.11"/>
    <n v="0.13"/>
    <n v="7.0000000000000007E-2"/>
    <n v="0.10600000000000001"/>
    <n v="-0.1"/>
    <n v="4.7749345545253292E-2"/>
    <n v="-0.06"/>
    <x v="3"/>
  </r>
  <r>
    <x v="4"/>
    <s v="Ts(Nagole)"/>
    <n v="0.08"/>
    <n v="0.11"/>
    <n v="0.1"/>
    <n v="0.16"/>
    <n v="0.13"/>
    <n v="0.11600000000000002"/>
    <n v="0.05"/>
    <n v="3.0495901363953758E-2"/>
    <n v="-0.03"/>
    <x v="3"/>
  </r>
  <r>
    <x v="4"/>
    <s v="Ts(Kukatpally)"/>
    <n v="0"/>
    <n v="0"/>
    <n v="0.04"/>
    <n v="0.13"/>
    <n v="0.38"/>
    <n v="0.11000000000000001"/>
    <n v="0.38"/>
    <n v="0.15999999999999998"/>
    <n v="0.25"/>
    <x v="3"/>
  </r>
  <r>
    <x v="0"/>
    <s v="Delhi(Burari)"/>
    <n v="0.28000000000000003"/>
    <n v="0.3"/>
    <n v="0.28000000000000003"/>
    <n v="0.48"/>
    <n v="0.33"/>
    <n v="0.33400000000000002"/>
    <n v="4.9999999999999989E-2"/>
    <n v="8.4142735871850532E-2"/>
    <n v="-0.14999999999999997"/>
    <x v="1"/>
  </r>
  <r>
    <x v="5"/>
    <s v="Malad"/>
    <n v="0.1"/>
    <n v="0.11"/>
    <n v="0.13"/>
    <n v="0.14000000000000001"/>
    <n v="0.27"/>
    <n v="0.15"/>
    <n v="0.17"/>
    <n v="6.8920243760451111E-2"/>
    <n v="0.13"/>
    <x v="0"/>
  </r>
  <r>
    <x v="4"/>
    <s v="Ts(Nacharam)"/>
    <n v="0.14000000000000001"/>
    <n v="0"/>
    <n v="7.0000000000000007E-2"/>
    <n v="0.21"/>
    <n v="0.28999999999999998"/>
    <n v="0.14199999999999999"/>
    <n v="0.14999999999999997"/>
    <n v="0.11388590782006351"/>
    <n v="7.9999999999999988E-2"/>
    <x v="3"/>
  </r>
  <r>
    <x v="3"/>
    <s v="Mumbra(Kausa)"/>
    <n v="0.06"/>
    <n v="0"/>
    <n v="0.05"/>
    <n v="0.11"/>
    <n v="0.17"/>
    <n v="7.8E-2"/>
    <n v="0.11000000000000001"/>
    <n v="6.4575537163851768E-2"/>
    <n v="6.0000000000000012E-2"/>
    <x v="3"/>
  </r>
  <r>
    <x v="2"/>
    <s v="Surat(Parvat Patiya)"/>
    <n v="0.06"/>
    <n v="0.23"/>
    <n v="0.23"/>
    <n v="0.18"/>
    <n v="0.2"/>
    <n v="0.18"/>
    <n v="0.14000000000000001"/>
    <n v="7.035623639735146E-2"/>
    <n v="2.0000000000000018E-2"/>
    <x v="0"/>
  </r>
  <r>
    <x v="4"/>
    <s v="Ts(R C Puram)"/>
    <n v="0.17"/>
    <n v="0.08"/>
    <n v="0.1"/>
    <n v="0.18"/>
    <n v="7.0000000000000007E-2"/>
    <n v="0.12000000000000002"/>
    <n v="-0.1"/>
    <n v="5.1478150704934965E-2"/>
    <n v="-0.10999999999999999"/>
    <x v="3"/>
  </r>
  <r>
    <x v="4"/>
    <s v="Ts(Kompally- Golden Plaza)"/>
    <n v="0"/>
    <n v="0.1"/>
    <n v="0.14000000000000001"/>
    <n v="0.32"/>
    <n v="0.13"/>
    <n v="0.13800000000000001"/>
    <n v="0.13"/>
    <n v="0.11584472366059663"/>
    <n v="-0.19"/>
    <x v="3"/>
  </r>
  <r>
    <x v="5"/>
    <s v="Ghatkopar(Lbs Marg) Br"/>
    <n v="0.1"/>
    <n v="0"/>
    <n v="0.06"/>
    <n v="0.12"/>
    <n v="0.09"/>
    <n v="7.3999999999999996E-2"/>
    <n v="-1.0000000000000009E-2"/>
    <n v="4.6690470119715013E-2"/>
    <n v="-0.03"/>
    <x v="3"/>
  </r>
  <r>
    <x v="0"/>
    <s v="Delhi(Durgapuri)"/>
    <n v="0.28999999999999998"/>
    <n v="0.25"/>
    <n v="0.34"/>
    <n v="0.38"/>
    <n v="0.13"/>
    <n v="0.27800000000000002"/>
    <n v="-0.15999999999999998"/>
    <n v="9.6280839215287281E-2"/>
    <n v="-0.25"/>
    <x v="1"/>
  </r>
  <r>
    <x v="4"/>
    <s v="Ts(Chandrayangutta)"/>
    <n v="0.04"/>
    <n v="0.1"/>
    <n v="0.06"/>
    <n v="0.12"/>
    <n v="0.18"/>
    <n v="0.1"/>
    <n v="0.13999999999999999"/>
    <n v="5.4772255750516606E-2"/>
    <n v="0.06"/>
    <x v="3"/>
  </r>
  <r>
    <x v="0"/>
    <s v="Haryana(Sec-65 Ext Gurugram)"/>
    <n v="0.26"/>
    <n v="0.15"/>
    <n v="0.19"/>
    <n v="0.27"/>
    <n v="0.3"/>
    <n v="0.23400000000000004"/>
    <n v="3.999999999999998E-2"/>
    <n v="6.1886993787063097E-2"/>
    <n v="2.9999999999999971E-2"/>
    <x v="0"/>
  </r>
  <r>
    <x v="0"/>
    <s v="Haryana(M G Road) Br"/>
    <n v="0.03"/>
    <n v="0"/>
    <n v="0.16"/>
    <n v="7.0000000000000007E-2"/>
    <n v="1"/>
    <n v="0.252"/>
    <n v="0.97"/>
    <n v="0.42245709841355489"/>
    <n v="0.92999999999999994"/>
    <x v="1"/>
  </r>
  <r>
    <x v="0"/>
    <s v="Delhi(Saket) Br"/>
    <n v="0.01"/>
    <n v="0.21"/>
    <n v="0.17"/>
    <n v="0.17"/>
    <n v="0.04"/>
    <n v="0.12000000000000002"/>
    <n v="0.03"/>
    <n v="8.8881944173155869E-2"/>
    <n v="-0.13"/>
    <x v="3"/>
  </r>
  <r>
    <x v="3"/>
    <s v="Kharghar(Patel Heritage)"/>
    <n v="0.05"/>
    <n v="0.15"/>
    <n v="0.03"/>
    <n v="0.2"/>
    <n v="0.15"/>
    <n v="0.11600000000000002"/>
    <n v="9.9999999999999992E-2"/>
    <n v="7.2663608498339777E-2"/>
    <n v="-5.0000000000000017E-2"/>
    <x v="3"/>
  </r>
  <r>
    <x v="2"/>
    <s v="Surat(Vip Road-Vesu)"/>
    <n v="0.05"/>
    <n v="0.13"/>
    <n v="0.14000000000000001"/>
    <n v="0.12"/>
    <n v="0"/>
    <n v="8.7999999999999995E-2"/>
    <n v="-0.05"/>
    <n v="6.0580524923443846E-2"/>
    <n v="-0.12"/>
    <x v="3"/>
  </r>
  <r>
    <x v="0"/>
    <s v="Up(Gaur Chowk)"/>
    <n v="0.17"/>
    <n v="0.17"/>
    <n v="0.1"/>
    <n v="0.05"/>
    <n v="0.06"/>
    <n v="0.11000000000000001"/>
    <n v="-0.11000000000000001"/>
    <n v="5.7879184513951146E-2"/>
    <n v="9.999999999999995E-3"/>
    <x v="3"/>
  </r>
  <r>
    <x v="4"/>
    <s v="Ts(Mailardevpally)"/>
    <n v="0.04"/>
    <n v="0.14000000000000001"/>
    <n v="0.04"/>
    <n v="0.31"/>
    <n v="0.28999999999999998"/>
    <n v="0.16400000000000001"/>
    <n v="0.24999999999999997"/>
    <n v="0.13088162590677119"/>
    <n v="-2.0000000000000018E-2"/>
    <x v="0"/>
  </r>
  <r>
    <x v="5"/>
    <s v="Sion Br"/>
    <n v="0.23"/>
    <n v="0.38"/>
    <n v="0.2"/>
    <n v="0.22"/>
    <n v="0.13"/>
    <n v="0.23200000000000004"/>
    <n v="-0.1"/>
    <n v="9.1487704091861369E-2"/>
    <n v="-0.09"/>
    <x v="0"/>
  </r>
  <r>
    <x v="4"/>
    <s v="Ts(Hastinapur)"/>
    <n v="0.16"/>
    <n v="0.1"/>
    <n v="0.17"/>
    <n v="0.24"/>
    <n v="0.15"/>
    <n v="0.16400000000000001"/>
    <n v="-1.0000000000000009E-2"/>
    <n v="5.0299105359837143E-2"/>
    <n v="-0.09"/>
    <x v="0"/>
  </r>
  <r>
    <x v="0"/>
    <s v="DELHI(KRISHNA NAGAR)"/>
    <n v="0"/>
    <n v="0.25"/>
    <n v="0.25"/>
    <n v="0.35"/>
    <n v="0"/>
    <n v="0.16999999999999998"/>
    <n v="0"/>
    <n v="0.16046806535881214"/>
    <n v="-0.35"/>
    <x v="0"/>
  </r>
  <r>
    <x v="5"/>
    <s v="Ghatkopar Br"/>
    <n v="0.04"/>
    <n v="0.19"/>
    <n v="0.19"/>
    <n v="0.23"/>
    <n v="0.14000000000000001"/>
    <n v="0.158"/>
    <n v="0.1"/>
    <n v="7.3280283842245039E-2"/>
    <n v="-0.09"/>
    <x v="0"/>
  </r>
  <r>
    <x v="3"/>
    <s v="Kalyan(Khadakpada)"/>
    <n v="0.17"/>
    <n v="0.15"/>
    <n v="0.26"/>
    <n v="0.22"/>
    <n v="0.11"/>
    <n v="0.182"/>
    <n v="-6.0000000000000012E-2"/>
    <n v="5.8906705900092511E-2"/>
    <n v="-0.11"/>
    <x v="0"/>
  </r>
  <r>
    <x v="3"/>
    <s v="Thane Br"/>
    <n v="0.14000000000000001"/>
    <n v="0.41"/>
    <n v="0.25"/>
    <n v="0.15"/>
    <n v="0.03"/>
    <n v="0.19600000000000001"/>
    <n v="-0.11000000000000001"/>
    <n v="0.14275853739794336"/>
    <n v="-0.12"/>
    <x v="0"/>
  </r>
  <r>
    <x v="4"/>
    <s v="Ap(Tirupathi-M.R.Pally)"/>
    <n v="7.0000000000000007E-2"/>
    <n v="0.17"/>
    <n v="0.13"/>
    <n v="0.09"/>
    <n v="0.17"/>
    <n v="0.126"/>
    <n v="0.1"/>
    <n v="4.5607017003965543E-2"/>
    <n v="8.0000000000000016E-2"/>
    <x v="3"/>
  </r>
  <r>
    <x v="0"/>
    <s v="Haryana(Dundahera)"/>
    <n v="0.11"/>
    <n v="0.2"/>
    <n v="0.17"/>
    <n v="0.1"/>
    <n v="0.1"/>
    <n v="0.13599999999999998"/>
    <n v="-9.999999999999995E-3"/>
    <n v="4.6151923036857452E-2"/>
    <n v="0"/>
    <x v="3"/>
  </r>
  <r>
    <x v="3"/>
    <s v="Badlapur"/>
    <n v="0.14000000000000001"/>
    <n v="0.36"/>
    <n v="0.19"/>
    <n v="0.17"/>
    <n v="0"/>
    <n v="0.17199999999999999"/>
    <n v="-0.14000000000000001"/>
    <n v="0.12872451204024818"/>
    <n v="-0.17"/>
    <x v="0"/>
  </r>
  <r>
    <x v="0"/>
    <s v="DELHI(ASHOK VIHAR)"/>
    <n v="0"/>
    <n v="0"/>
    <n v="0"/>
    <n v="0.15"/>
    <n v="0.17"/>
    <n v="6.4000000000000001E-2"/>
    <n v="0.17"/>
    <n v="8.7920418561333064E-2"/>
    <n v="2.0000000000000018E-2"/>
    <x v="3"/>
  </r>
  <r>
    <x v="0"/>
    <s v="Delhi(Najafgarh)"/>
    <n v="0.2"/>
    <n v="0.17"/>
    <n v="0.06"/>
    <n v="0.03"/>
    <n v="0"/>
    <n v="9.1999999999999998E-2"/>
    <n v="-0.2"/>
    <n v="8.8147603484156095E-2"/>
    <n v="-0.03"/>
    <x v="3"/>
  </r>
  <r>
    <x v="4"/>
    <s v="Ts(A.S.Rao Nagar)"/>
    <n v="0"/>
    <n v="0.15"/>
    <n v="0.17"/>
    <n v="0.19"/>
    <n v="0.08"/>
    <n v="0.11799999999999999"/>
    <n v="0.08"/>
    <n v="7.7910204723129831E-2"/>
    <n v="-0.11"/>
    <x v="3"/>
  </r>
  <r>
    <x v="4"/>
    <s v="Ts(Malakpet)"/>
    <n v="0.03"/>
    <n v="0.05"/>
    <n v="0.06"/>
    <n v="0.19"/>
    <n v="0.14000000000000001"/>
    <n v="9.4E-2"/>
    <n v="0.11000000000000001"/>
    <n v="6.804410334481599E-2"/>
    <n v="-4.9999999999999989E-2"/>
    <x v="3"/>
  </r>
  <r>
    <x v="2"/>
    <s v="Ahmedabad(Vishala) Br"/>
    <n v="0.08"/>
    <n v="0.17"/>
    <n v="0.16"/>
    <n v="0.12"/>
    <n v="0.09"/>
    <n v="0.124"/>
    <n v="9.999999999999995E-3"/>
    <n v="4.0373258476372693E-2"/>
    <n v="-0.03"/>
    <x v="3"/>
  </r>
  <r>
    <x v="4"/>
    <s v="Ts(Chintalkunta)"/>
    <n v="0.04"/>
    <n v="0.2"/>
    <n v="7.0000000000000007E-2"/>
    <n v="0.09"/>
    <n v="0.14000000000000001"/>
    <n v="0.10800000000000001"/>
    <n v="0.1"/>
    <n v="6.3007936008093485E-2"/>
    <n v="5.0000000000000017E-2"/>
    <x v="3"/>
  </r>
  <r>
    <x v="4"/>
    <s v="Ap(Rajahmundry-Jln Road)"/>
    <n v="0"/>
    <n v="0.17"/>
    <n v="0.08"/>
    <n v="0.05"/>
    <n v="0.14000000000000001"/>
    <n v="8.7999999999999995E-2"/>
    <n v="0.14000000000000001"/>
    <n v="6.8337398253079565E-2"/>
    <n v="9.0000000000000011E-2"/>
    <x v="3"/>
  </r>
  <r>
    <x v="4"/>
    <s v="Ts(Punjagutta)"/>
    <n v="0.06"/>
    <n v="0.13"/>
    <n v="0.05"/>
    <n v="0.18"/>
    <n v="0.2"/>
    <n v="0.124"/>
    <n v="0.14000000000000001"/>
    <n v="6.8044103344816018E-2"/>
    <n v="2.0000000000000018E-2"/>
    <x v="3"/>
  </r>
  <r>
    <x v="4"/>
    <s v="Ap(Vijayawada)"/>
    <n v="0"/>
    <n v="0"/>
    <n v="0.15"/>
    <n v="0.24"/>
    <n v="0"/>
    <n v="7.8E-2"/>
    <n v="0"/>
    <n v="0.11144505372604026"/>
    <n v="-0.24"/>
    <x v="3"/>
  </r>
  <r>
    <x v="0"/>
    <s v="Haryana(Palam Vihar Rd)"/>
    <n v="0"/>
    <n v="0.06"/>
    <n v="0.12"/>
    <n v="0.15"/>
    <n v="7.0000000000000007E-2"/>
    <n v="7.9999999999999988E-2"/>
    <n v="7.0000000000000007E-2"/>
    <n v="5.7879184513951132E-2"/>
    <n v="-7.9999999999999988E-2"/>
    <x v="3"/>
  </r>
  <r>
    <x v="4"/>
    <s v="Ap(Kakinada)"/>
    <n v="0"/>
    <n v="0"/>
    <n v="0.05"/>
    <n v="0.1"/>
    <n v="0.2"/>
    <n v="7.0000000000000007E-2"/>
    <n v="0.2"/>
    <n v="8.3666002653407567E-2"/>
    <n v="0.1"/>
    <x v="3"/>
  </r>
  <r>
    <x v="4"/>
    <s v="Ts(Wrg-Pochamma Maidan)"/>
    <n v="0"/>
    <n v="0"/>
    <n v="0.04"/>
    <n v="0.03"/>
    <n v="0.14000000000000001"/>
    <n v="4.2000000000000003E-2"/>
    <n v="0.14000000000000001"/>
    <n v="5.7619441163551735E-2"/>
    <n v="0.11000000000000001"/>
    <x v="3"/>
  </r>
  <r>
    <x v="5"/>
    <s v="Mahim Br"/>
    <n v="0.1"/>
    <n v="0.26"/>
    <n v="0.15"/>
    <n v="0.4"/>
    <n v="0"/>
    <n v="0.182"/>
    <n v="-0.1"/>
    <n v="0.15368799562750499"/>
    <n v="-0.4"/>
    <x v="0"/>
  </r>
  <r>
    <x v="0"/>
    <s v="DELHI(ROHINI Sector-16)"/>
    <n v="0"/>
    <n v="0"/>
    <n v="7.0000000000000007E-2"/>
    <n v="0.28000000000000003"/>
    <n v="0"/>
    <n v="7.0000000000000007E-2"/>
    <n v="0"/>
    <n v="0.12124355652982141"/>
    <n v="-0.28000000000000003"/>
    <x v="3"/>
  </r>
  <r>
    <x v="5"/>
    <s v="Infiniti Br"/>
    <n v="0.13"/>
    <n v="0.09"/>
    <n v="0.12"/>
    <n v="0.19"/>
    <n v="0"/>
    <n v="0.10600000000000001"/>
    <n v="-0.13"/>
    <n v="6.9498201415576222E-2"/>
    <n v="-0.19"/>
    <x v="3"/>
  </r>
  <r>
    <x v="1"/>
    <s v="Pune(Tilak Rd)Br"/>
    <n v="0.02"/>
    <n v="0.08"/>
    <n v="0.14000000000000001"/>
    <n v="0.28999999999999998"/>
    <n v="0"/>
    <n v="0.10600000000000001"/>
    <n v="-0.02"/>
    <n v="0.11653325705565772"/>
    <n v="-0.28999999999999998"/>
    <x v="3"/>
  </r>
  <r>
    <x v="4"/>
    <s v="Ts(Madinaguda)"/>
    <n v="0.12"/>
    <n v="7.0000000000000007E-2"/>
    <n v="0.17"/>
    <n v="0.2"/>
    <n v="0"/>
    <n v="0.11200000000000002"/>
    <n v="-0.12"/>
    <n v="7.9812279756939664E-2"/>
    <n v="-0.2"/>
    <x v="3"/>
  </r>
  <r>
    <x v="2"/>
    <s v="Ahmedabad(Rakhial) Br"/>
    <n v="0"/>
    <n v="0.33"/>
    <n v="0.11"/>
    <n v="0.23"/>
    <n v="0"/>
    <n v="0.13400000000000001"/>
    <n v="0"/>
    <n v="0.14501724035437993"/>
    <n v="-0.23"/>
    <x v="3"/>
  </r>
  <r>
    <x v="4"/>
    <s v="Ts(Nagaram)"/>
    <n v="0.17"/>
    <n v="0.1"/>
    <n v="0.12"/>
    <n v="0.25"/>
    <n v="0"/>
    <n v="0.128"/>
    <n v="-0.17"/>
    <n v="9.2032602918748305E-2"/>
    <n v="-0.25"/>
    <x v="3"/>
  </r>
  <r>
    <x v="4"/>
    <s v="Ts(Hayathnagar)"/>
    <n v="7.0000000000000007E-2"/>
    <n v="0"/>
    <n v="7.0000000000000007E-2"/>
    <n v="0.11"/>
    <n v="0"/>
    <n v="0.05"/>
    <n v="-7.0000000000000007E-2"/>
    <n v="4.8476798574163295E-2"/>
    <n v="-0.11"/>
    <x v="3"/>
  </r>
  <r>
    <x v="3"/>
    <s v="Ulhasnagar Br"/>
    <n v="0"/>
    <n v="0"/>
    <n v="0.08"/>
    <n v="0.03"/>
    <n v="0"/>
    <n v="2.1999999999999999E-2"/>
    <n v="0"/>
    <n v="3.4928498393145962E-2"/>
    <n v="-0.03"/>
    <x v="3"/>
  </r>
  <r>
    <x v="2"/>
    <s v="Ahmedabad(R3Mall) Br"/>
    <n v="0.13"/>
    <n v="0"/>
    <n v="0.21"/>
    <n v="0.09"/>
    <n v="0"/>
    <n v="8.5999999999999993E-2"/>
    <n v="-0.13"/>
    <n v="8.9610267268879412E-2"/>
    <n v="-0.09"/>
    <x v="3"/>
  </r>
  <r>
    <x v="5"/>
    <s v="Boisar Br"/>
    <n v="0"/>
    <n v="0"/>
    <n v="0.1"/>
    <n v="0"/>
    <n v="0"/>
    <n v="0.02"/>
    <n v="0"/>
    <n v="4.4721359549995801E-2"/>
    <n v="0"/>
    <x v="3"/>
  </r>
  <r>
    <x v="4"/>
    <s v="Ap(Vizag)"/>
    <n v="0"/>
    <n v="0.17"/>
    <n v="0"/>
    <n v="0"/>
    <n v="0"/>
    <n v="3.4000000000000002E-2"/>
    <n v="0"/>
    <n v="7.6026311234992858E-2"/>
    <n v="0"/>
    <x v="3"/>
  </r>
  <r>
    <x v="4"/>
    <s v="Ap(Ntr Circle)"/>
    <n v="0"/>
    <n v="0"/>
    <n v="0"/>
    <n v="0"/>
    <n v="0"/>
    <n v="0"/>
    <n v="0"/>
    <n v="0"/>
    <n v="0"/>
    <x v="3"/>
  </r>
  <r>
    <x v="2"/>
    <s v="Vadodara(Kareli Baug)"/>
    <n v="0.03"/>
    <n v="0.12"/>
    <n v="0.16"/>
    <n v="0.08"/>
    <n v="0.2"/>
    <n v="0.11800000000000002"/>
    <n v="0.17"/>
    <n v="6.6483080554378654E-2"/>
    <n v="0.12000000000000001"/>
    <x v="3"/>
  </r>
  <r>
    <x v="2"/>
    <s v="Vadodara(Alkapuri) Br"/>
    <n v="0.12"/>
    <n v="0.13"/>
    <n v="0.08"/>
    <n v="0.13"/>
    <n v="0.18"/>
    <n v="0.128"/>
    <n v="0.06"/>
    <n v="3.5637059362410926E-2"/>
    <n v="4.9999999999999989E-2"/>
    <x v="3"/>
  </r>
  <r>
    <x v="2"/>
    <s v="Vadodara(Manjalpur) Br"/>
    <n v="0.01"/>
    <n v="0"/>
    <n v="0.15"/>
    <n v="0.12"/>
    <n v="0.25"/>
    <n v="0.10600000000000001"/>
    <n v="0.24"/>
    <n v="0.10406728592598156"/>
    <n v="0.13"/>
    <x v="3"/>
  </r>
  <r>
    <x v="3"/>
    <s v="Kharghar Br"/>
    <n v="0"/>
    <n v="0"/>
    <n v="0"/>
    <n v="0"/>
    <n v="0"/>
    <n v="0"/>
    <n v="0"/>
    <n v="0"/>
    <n v="0"/>
    <x v="3"/>
  </r>
  <r>
    <x v="4"/>
    <s v="Ap(Tirupathi-Leela Mahal Circle)"/>
    <n v="0"/>
    <n v="0"/>
    <n v="0"/>
    <n v="0"/>
    <n v="0"/>
    <n v="0"/>
    <n v="0"/>
    <n v="0"/>
    <n v="0"/>
    <x v="3"/>
  </r>
  <r>
    <x v="4"/>
    <s v="Ap(Rajamundry)"/>
    <n v="0"/>
    <n v="0"/>
    <n v="0"/>
    <n v="0"/>
    <n v="0"/>
    <n v="0"/>
    <n v="0"/>
    <n v="0"/>
    <n v="0"/>
    <x v="3"/>
  </r>
  <r>
    <x v="2"/>
    <s v="Vadodara(Kothi Road)"/>
    <n v="0"/>
    <n v="0"/>
    <n v="0"/>
    <n v="0"/>
    <n v="0"/>
    <n v="0"/>
    <n v="0"/>
    <n v="0"/>
    <n v="0"/>
    <x v="3"/>
  </r>
  <r>
    <x v="6"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731FC-3997-455F-BC5F-5ADDEC2D6C58}" name="PivotTable1" cacheId="6" dataOnRows="1" applyNumberFormats="0" applyBorderFormats="0" applyFontFormats="0" applyPatternFormats="0" applyAlignmentFormats="0" applyWidthHeightFormats="1" dataCaption="Data" showMissing="0" updatedVersion="8" showItems="0" showMemberPropertyTips="0" useAutoFormatting="1" rowGrandTotals="0" itemPrintTitles="1" createdVersion="1" indent="0" compact="0" compactData="0" gridDropZones="1" chartFormat="5">
  <location ref="A3:B10" firstHeaderRow="2" firstDataRow="2" firstDataCol="1"/>
  <pivotFields count="12">
    <pivotField axis="axisRow" compact="0" outline="0" showAll="0" includeNewItemsInFilter="1" sortType="descending">
      <items count="8">
        <item x="0"/>
        <item x="2"/>
        <item x="5"/>
        <item x="1"/>
        <item x="4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0"/>
  </rowFields>
  <rowItems count="6">
    <i>
      <x v="3"/>
    </i>
    <i>
      <x/>
    </i>
    <i>
      <x v="2"/>
    </i>
    <i>
      <x v="5"/>
    </i>
    <i>
      <x v="1"/>
    </i>
    <i>
      <x v="4"/>
    </i>
  </rowItems>
  <colItems count="1">
    <i/>
  </colItems>
  <dataFields count="1">
    <dataField name="Branch-level average attach %" fld="7" subtotal="average" baseField="0" baseItem="3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6CA931-7994-44BB-ACF8-D90F57559F2F}" name="Table3" displayName="Table3" ref="M1:N6" totalsRowShown="0">
  <autoFilter ref="M1:N6" xr:uid="{B96CA931-7994-44BB-ACF8-D90F57559F2F}"/>
  <tableColumns count="2">
    <tableColumn id="1" xr3:uid="{6D9515D9-178B-471D-A865-AA19AE45FE91}" name="Month"/>
    <tableColumn id="2" xr3:uid="{3AF0CE81-E711-41FA-AF64-084AD769A8E0}" name="Avg Attach %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2B60-982E-4AF7-816A-41BA18B973B5}">
  <sheetPr>
    <outlinePr summaryBelow="0" summaryRight="0"/>
  </sheetPr>
  <dimension ref="A1:M164"/>
  <sheetViews>
    <sheetView tabSelected="1" workbookViewId="0">
      <selection activeCell="O3" sqref="O3"/>
    </sheetView>
  </sheetViews>
  <sheetFormatPr defaultColWidth="12.6640625" defaultRowHeight="15.75" customHeight="1" x14ac:dyDescent="0.25"/>
  <cols>
    <col min="1" max="1" width="10" customWidth="1"/>
    <col min="2" max="2" width="20.77734375" customWidth="1"/>
    <col min="3" max="3" width="14.21875" customWidth="1"/>
    <col min="4" max="4" width="13.44140625" customWidth="1"/>
    <col min="5" max="5" width="13.109375" customWidth="1"/>
    <col min="6" max="6" width="13.77734375" customWidth="1"/>
    <col min="7" max="7" width="13.6640625" customWidth="1"/>
    <col min="10" max="10" width="12.6640625" style="20"/>
    <col min="13" max="13" width="20.5546875" customWidth="1"/>
  </cols>
  <sheetData>
    <row r="1" spans="1:13" ht="15.75" customHeight="1" x14ac:dyDescent="0.25">
      <c r="A1" s="1" t="s">
        <v>170</v>
      </c>
      <c r="B1" s="1" t="s">
        <v>0</v>
      </c>
      <c r="C1" s="1" t="s">
        <v>175</v>
      </c>
      <c r="D1" s="1" t="s">
        <v>174</v>
      </c>
      <c r="E1" s="1" t="s">
        <v>173</v>
      </c>
      <c r="F1" s="1" t="s">
        <v>172</v>
      </c>
      <c r="G1" s="1" t="s">
        <v>171</v>
      </c>
      <c r="H1" s="5" t="s">
        <v>176</v>
      </c>
      <c r="I1" s="5" t="s">
        <v>180</v>
      </c>
      <c r="J1" s="19" t="s">
        <v>177</v>
      </c>
      <c r="K1" s="5" t="s">
        <v>179</v>
      </c>
      <c r="L1" s="5" t="s">
        <v>178</v>
      </c>
      <c r="M1" s="5" t="s">
        <v>184</v>
      </c>
    </row>
    <row r="2" spans="1:13" ht="15.75" customHeight="1" x14ac:dyDescent="0.25">
      <c r="A2" s="2" t="s">
        <v>1</v>
      </c>
      <c r="B2" s="2" t="s">
        <v>2</v>
      </c>
      <c r="C2" s="3">
        <v>0.24</v>
      </c>
      <c r="D2" s="3">
        <v>0.25</v>
      </c>
      <c r="E2" s="3">
        <v>0.16</v>
      </c>
      <c r="F2" s="3">
        <v>0.17</v>
      </c>
      <c r="G2" s="3">
        <v>0.23</v>
      </c>
      <c r="H2" s="6">
        <f>AVERAGE(C2:G2)</f>
        <v>0.21000000000000002</v>
      </c>
      <c r="I2" s="6">
        <f>G2-C2</f>
        <v>-9.9999999999999811E-3</v>
      </c>
      <c r="J2" s="20">
        <f>STDEV(C2:G2)</f>
        <v>4.1833001326703798E-2</v>
      </c>
      <c r="K2" s="6">
        <f>G2 - F2</f>
        <v>0.06</v>
      </c>
      <c r="L2" t="str">
        <f>IF(H2&gt;=40%,"Champion",
 IF(H2&gt;=25%,"Stable",
 IF(H2&gt;=15%,"Opportunity",
 "Critical")))</f>
        <v>Opportunity</v>
      </c>
      <c r="M2" s="16">
        <f>(AVERAGE($E2:$G2)*0.7 + $G2*0.3)</f>
        <v>0.19966666666666666</v>
      </c>
    </row>
    <row r="3" spans="1:13" ht="15.75" customHeight="1" x14ac:dyDescent="0.25">
      <c r="A3" s="2" t="s">
        <v>1</v>
      </c>
      <c r="B3" s="2" t="s">
        <v>3</v>
      </c>
      <c r="C3" s="3">
        <v>0.04</v>
      </c>
      <c r="D3" s="3">
        <v>0.28000000000000003</v>
      </c>
      <c r="E3" s="3">
        <v>0.15</v>
      </c>
      <c r="F3" s="3">
        <v>0.26</v>
      </c>
      <c r="G3" s="3">
        <v>0.21</v>
      </c>
      <c r="H3" s="6">
        <f t="shared" ref="H3:H66" si="0">AVERAGE(C3:G3)</f>
        <v>0.188</v>
      </c>
      <c r="I3" s="6">
        <f t="shared" ref="I3:I66" si="1">G3-C3</f>
        <v>0.16999999999999998</v>
      </c>
      <c r="J3" s="20">
        <f t="shared" ref="J3:J66" si="2">STDEV(C3:G3)</f>
        <v>9.6798760322640551E-2</v>
      </c>
      <c r="K3" s="6">
        <f t="shared" ref="K3:K66" si="3">G3 - F3</f>
        <v>-5.0000000000000017E-2</v>
      </c>
      <c r="L3" t="str">
        <f t="shared" ref="L3:L66" si="4">IF(H3&gt;=40%,"Champion",
 IF(H3&gt;=25%,"Stable",
 IF(H3&gt;=15%,"Opportunity",
 "Critical")))</f>
        <v>Opportunity</v>
      </c>
      <c r="M3" s="16">
        <f t="shared" ref="M3:M66" si="5">(AVERAGE($E3:$G3)*0.7 + $G3*0.3)</f>
        <v>0.20766666666666667</v>
      </c>
    </row>
    <row r="4" spans="1:13" ht="15.75" customHeight="1" x14ac:dyDescent="0.25">
      <c r="A4" s="2" t="s">
        <v>1</v>
      </c>
      <c r="B4" s="2" t="s">
        <v>4</v>
      </c>
      <c r="C4" s="3">
        <v>0.43</v>
      </c>
      <c r="D4" s="3">
        <v>0.41</v>
      </c>
      <c r="E4" s="3">
        <v>0.3</v>
      </c>
      <c r="F4" s="3">
        <v>0.36</v>
      </c>
      <c r="G4" s="3">
        <v>0.25</v>
      </c>
      <c r="H4" s="6">
        <f t="shared" si="0"/>
        <v>0.35</v>
      </c>
      <c r="I4" s="6">
        <f t="shared" si="1"/>
        <v>-0.18</v>
      </c>
      <c r="J4" s="20">
        <f t="shared" si="2"/>
        <v>7.5166481891864464E-2</v>
      </c>
      <c r="K4" s="6">
        <f t="shared" si="3"/>
        <v>-0.10999999999999999</v>
      </c>
      <c r="L4" t="str">
        <f t="shared" si="4"/>
        <v>Stable</v>
      </c>
      <c r="M4" s="16">
        <f t="shared" si="5"/>
        <v>0.28733333333333327</v>
      </c>
    </row>
    <row r="5" spans="1:13" ht="15.75" customHeight="1" x14ac:dyDescent="0.25">
      <c r="A5" s="2" t="s">
        <v>5</v>
      </c>
      <c r="B5" s="2" t="s">
        <v>6</v>
      </c>
      <c r="C5" s="3">
        <v>0.32</v>
      </c>
      <c r="D5" s="3">
        <v>0.13</v>
      </c>
      <c r="E5" s="3">
        <v>0.36</v>
      </c>
      <c r="F5" s="3">
        <v>0.33</v>
      </c>
      <c r="G5" s="3">
        <v>0.33</v>
      </c>
      <c r="H5" s="6">
        <f t="shared" si="0"/>
        <v>0.29400000000000004</v>
      </c>
      <c r="I5" s="6">
        <f t="shared" si="1"/>
        <v>1.0000000000000009E-2</v>
      </c>
      <c r="J5" s="20">
        <f t="shared" si="2"/>
        <v>9.2897793299948572E-2</v>
      </c>
      <c r="K5" s="6">
        <f t="shared" si="3"/>
        <v>0</v>
      </c>
      <c r="L5" t="str">
        <f t="shared" si="4"/>
        <v>Stable</v>
      </c>
      <c r="M5" s="16">
        <f t="shared" si="5"/>
        <v>0.33699999999999997</v>
      </c>
    </row>
    <row r="6" spans="1:13" ht="15.75" customHeight="1" x14ac:dyDescent="0.25">
      <c r="A6" s="2" t="s">
        <v>7</v>
      </c>
      <c r="B6" s="2" t="s">
        <v>8</v>
      </c>
      <c r="C6" s="3">
        <v>0.17</v>
      </c>
      <c r="D6" s="3">
        <v>0.21</v>
      </c>
      <c r="E6" s="3">
        <v>0.14000000000000001</v>
      </c>
      <c r="F6" s="3">
        <v>0.11</v>
      </c>
      <c r="G6" s="3">
        <v>0.19</v>
      </c>
      <c r="H6" s="6">
        <f t="shared" si="0"/>
        <v>0.16400000000000001</v>
      </c>
      <c r="I6" s="6">
        <f t="shared" si="1"/>
        <v>1.999999999999999E-2</v>
      </c>
      <c r="J6" s="20">
        <f t="shared" si="2"/>
        <v>3.9749213828703556E-2</v>
      </c>
      <c r="K6" s="6">
        <f t="shared" si="3"/>
        <v>0.08</v>
      </c>
      <c r="L6" t="str">
        <f t="shared" si="4"/>
        <v>Opportunity</v>
      </c>
      <c r="M6" s="16">
        <f t="shared" si="5"/>
        <v>0.15966666666666665</v>
      </c>
    </row>
    <row r="7" spans="1:13" ht="15.75" customHeight="1" x14ac:dyDescent="0.25">
      <c r="A7" s="2" t="s">
        <v>5</v>
      </c>
      <c r="B7" s="2" t="s">
        <v>9</v>
      </c>
      <c r="C7" s="3">
        <v>0.21</v>
      </c>
      <c r="D7" s="3">
        <v>0.11</v>
      </c>
      <c r="E7" s="3">
        <v>0.17</v>
      </c>
      <c r="F7" s="3">
        <v>0.35</v>
      </c>
      <c r="G7" s="3">
        <v>0.46</v>
      </c>
      <c r="H7" s="6">
        <f t="shared" si="0"/>
        <v>0.26</v>
      </c>
      <c r="I7" s="6">
        <f t="shared" si="1"/>
        <v>0.25</v>
      </c>
      <c r="J7" s="20">
        <f t="shared" si="2"/>
        <v>0.14247806848775008</v>
      </c>
      <c r="K7" s="6">
        <f t="shared" si="3"/>
        <v>0.11000000000000004</v>
      </c>
      <c r="L7" t="str">
        <f t="shared" si="4"/>
        <v>Stable</v>
      </c>
      <c r="M7" s="16">
        <f t="shared" si="5"/>
        <v>0.3666666666666667</v>
      </c>
    </row>
    <row r="8" spans="1:13" ht="15.75" customHeight="1" x14ac:dyDescent="0.25">
      <c r="A8" s="2" t="s">
        <v>5</v>
      </c>
      <c r="B8" s="2" t="s">
        <v>10</v>
      </c>
      <c r="C8" s="3">
        <v>0.26</v>
      </c>
      <c r="D8" s="3">
        <v>0.17</v>
      </c>
      <c r="E8" s="4">
        <v>0.3</v>
      </c>
      <c r="F8" s="3">
        <v>0.31</v>
      </c>
      <c r="G8" s="3">
        <v>0.28999999999999998</v>
      </c>
      <c r="H8" s="6">
        <f t="shared" si="0"/>
        <v>0.26600000000000001</v>
      </c>
      <c r="I8" s="6">
        <f t="shared" si="1"/>
        <v>2.9999999999999971E-2</v>
      </c>
      <c r="J8" s="20">
        <f t="shared" si="2"/>
        <v>5.6833088953531258E-2</v>
      </c>
      <c r="K8" s="6">
        <f t="shared" si="3"/>
        <v>-2.0000000000000018E-2</v>
      </c>
      <c r="L8" t="str">
        <f t="shared" si="4"/>
        <v>Stable</v>
      </c>
      <c r="M8" s="16">
        <f t="shared" si="5"/>
        <v>0.29699999999999999</v>
      </c>
    </row>
    <row r="9" spans="1:13" ht="15.75" customHeight="1" x14ac:dyDescent="0.25">
      <c r="A9" s="2" t="s">
        <v>11</v>
      </c>
      <c r="B9" s="2" t="s">
        <v>12</v>
      </c>
      <c r="C9" s="3">
        <v>0.39</v>
      </c>
      <c r="D9" s="3">
        <v>0.21</v>
      </c>
      <c r="E9" s="3">
        <v>0.33</v>
      </c>
      <c r="F9" s="3">
        <v>0.44</v>
      </c>
      <c r="G9" s="3">
        <v>0.44</v>
      </c>
      <c r="H9" s="6">
        <f t="shared" si="0"/>
        <v>0.36199999999999999</v>
      </c>
      <c r="I9" s="6">
        <f t="shared" si="1"/>
        <v>4.9999999999999989E-2</v>
      </c>
      <c r="J9" s="20">
        <f t="shared" si="2"/>
        <v>9.628083921528742E-2</v>
      </c>
      <c r="K9" s="6">
        <f t="shared" si="3"/>
        <v>0</v>
      </c>
      <c r="L9" t="str">
        <f t="shared" si="4"/>
        <v>Stable</v>
      </c>
      <c r="M9" s="16">
        <f t="shared" si="5"/>
        <v>0.41433333333333333</v>
      </c>
    </row>
    <row r="10" spans="1:13" ht="15.75" customHeight="1" x14ac:dyDescent="0.25">
      <c r="A10" s="2" t="s">
        <v>1</v>
      </c>
      <c r="B10" s="2" t="s">
        <v>13</v>
      </c>
      <c r="C10" s="3">
        <v>0.21</v>
      </c>
      <c r="D10" s="3">
        <v>0.26</v>
      </c>
      <c r="E10" s="3">
        <v>0.21</v>
      </c>
      <c r="F10" s="3">
        <v>0.22</v>
      </c>
      <c r="G10" s="3">
        <v>0.19</v>
      </c>
      <c r="H10" s="6">
        <f t="shared" si="0"/>
        <v>0.21799999999999997</v>
      </c>
      <c r="I10" s="6">
        <f t="shared" si="1"/>
        <v>-1.999999999999999E-2</v>
      </c>
      <c r="J10" s="20">
        <f t="shared" si="2"/>
        <v>2.5884358211089781E-2</v>
      </c>
      <c r="K10" s="6">
        <f t="shared" si="3"/>
        <v>-0.03</v>
      </c>
      <c r="L10" t="str">
        <f t="shared" si="4"/>
        <v>Opportunity</v>
      </c>
      <c r="M10" s="16">
        <f t="shared" si="5"/>
        <v>0.20166666666666666</v>
      </c>
    </row>
    <row r="11" spans="1:13" ht="15.75" customHeight="1" x14ac:dyDescent="0.25">
      <c r="A11" s="2" t="s">
        <v>5</v>
      </c>
      <c r="B11" s="2" t="s">
        <v>14</v>
      </c>
      <c r="C11" s="3">
        <v>0.19</v>
      </c>
      <c r="D11" s="3">
        <v>0.19</v>
      </c>
      <c r="E11" s="3">
        <v>0.28999999999999998</v>
      </c>
      <c r="F11" s="3">
        <v>0.25</v>
      </c>
      <c r="G11" s="3">
        <v>0.26</v>
      </c>
      <c r="H11" s="6">
        <f t="shared" si="0"/>
        <v>0.23599999999999999</v>
      </c>
      <c r="I11" s="6">
        <f t="shared" si="1"/>
        <v>7.0000000000000007E-2</v>
      </c>
      <c r="J11" s="20">
        <f t="shared" si="2"/>
        <v>4.4497190922574086E-2</v>
      </c>
      <c r="K11" s="6">
        <f t="shared" si="3"/>
        <v>1.0000000000000009E-2</v>
      </c>
      <c r="L11" t="str">
        <f t="shared" si="4"/>
        <v>Opportunity</v>
      </c>
      <c r="M11" s="16">
        <f t="shared" si="5"/>
        <v>0.26466666666666666</v>
      </c>
    </row>
    <row r="12" spans="1:13" ht="15.75" customHeight="1" x14ac:dyDescent="0.25">
      <c r="A12" s="2" t="s">
        <v>1</v>
      </c>
      <c r="B12" s="2" t="s">
        <v>15</v>
      </c>
      <c r="C12" s="3">
        <v>0.56000000000000005</v>
      </c>
      <c r="D12" s="3">
        <v>0.8</v>
      </c>
      <c r="E12" s="3">
        <v>0.52</v>
      </c>
      <c r="F12" s="3">
        <v>0.6</v>
      </c>
      <c r="G12" s="3">
        <v>0.63</v>
      </c>
      <c r="H12" s="6">
        <f t="shared" si="0"/>
        <v>0.622</v>
      </c>
      <c r="I12" s="6">
        <f t="shared" si="1"/>
        <v>6.9999999999999951E-2</v>
      </c>
      <c r="J12" s="20">
        <f t="shared" si="2"/>
        <v>0.10779610382569527</v>
      </c>
      <c r="K12" s="6">
        <f t="shared" si="3"/>
        <v>3.0000000000000027E-2</v>
      </c>
      <c r="L12" t="str">
        <f t="shared" si="4"/>
        <v>Champion</v>
      </c>
      <c r="M12" s="16">
        <f t="shared" si="5"/>
        <v>0.59733333333333327</v>
      </c>
    </row>
    <row r="13" spans="1:13" ht="15.75" customHeight="1" x14ac:dyDescent="0.25">
      <c r="A13" s="2" t="s">
        <v>1</v>
      </c>
      <c r="B13" s="2" t="s">
        <v>16</v>
      </c>
      <c r="C13" s="3">
        <v>0.15</v>
      </c>
      <c r="D13" s="3">
        <v>0.09</v>
      </c>
      <c r="E13" s="3">
        <v>0.27</v>
      </c>
      <c r="F13" s="3">
        <v>0.36</v>
      </c>
      <c r="G13" s="3">
        <v>0.31</v>
      </c>
      <c r="H13" s="6">
        <f t="shared" si="0"/>
        <v>0.23599999999999999</v>
      </c>
      <c r="I13" s="6">
        <f t="shared" si="1"/>
        <v>0.16</v>
      </c>
      <c r="J13" s="20">
        <f t="shared" si="2"/>
        <v>0.11260550608207402</v>
      </c>
      <c r="K13" s="6">
        <f t="shared" si="3"/>
        <v>-4.9999999999999989E-2</v>
      </c>
      <c r="L13" t="str">
        <f t="shared" si="4"/>
        <v>Opportunity</v>
      </c>
      <c r="M13" s="16">
        <f t="shared" si="5"/>
        <v>0.3123333333333333</v>
      </c>
    </row>
    <row r="14" spans="1:13" ht="15.75" customHeight="1" x14ac:dyDescent="0.25">
      <c r="A14" s="2" t="s">
        <v>17</v>
      </c>
      <c r="B14" s="2" t="s">
        <v>18</v>
      </c>
      <c r="C14" s="3">
        <v>0.17</v>
      </c>
      <c r="D14" s="3">
        <v>0.14000000000000001</v>
      </c>
      <c r="E14" s="3">
        <v>0.13</v>
      </c>
      <c r="F14" s="3">
        <v>0.42</v>
      </c>
      <c r="G14" s="3">
        <v>0.56000000000000005</v>
      </c>
      <c r="H14" s="6">
        <f t="shared" si="0"/>
        <v>0.28400000000000003</v>
      </c>
      <c r="I14" s="6">
        <f t="shared" si="1"/>
        <v>0.39</v>
      </c>
      <c r="J14" s="20">
        <f t="shared" si="2"/>
        <v>0.19501282009139803</v>
      </c>
      <c r="K14" s="6">
        <f t="shared" si="3"/>
        <v>0.14000000000000007</v>
      </c>
      <c r="L14" t="str">
        <f t="shared" si="4"/>
        <v>Stable</v>
      </c>
      <c r="M14" s="16">
        <f t="shared" si="5"/>
        <v>0.42700000000000005</v>
      </c>
    </row>
    <row r="15" spans="1:13" ht="15.75" customHeight="1" x14ac:dyDescent="0.25">
      <c r="A15" s="2" t="s">
        <v>1</v>
      </c>
      <c r="B15" s="2" t="s">
        <v>19</v>
      </c>
      <c r="C15" s="3">
        <v>0.16</v>
      </c>
      <c r="D15" s="3">
        <v>0.26</v>
      </c>
      <c r="E15" s="3">
        <v>0.27</v>
      </c>
      <c r="F15" s="3">
        <v>0.41</v>
      </c>
      <c r="G15" s="3">
        <v>0.4</v>
      </c>
      <c r="H15" s="6">
        <f t="shared" si="0"/>
        <v>0.3</v>
      </c>
      <c r="I15" s="6">
        <f t="shared" si="1"/>
        <v>0.24000000000000002</v>
      </c>
      <c r="J15" s="20">
        <f t="shared" si="2"/>
        <v>0.10511898020814321</v>
      </c>
      <c r="K15" s="6">
        <f t="shared" si="3"/>
        <v>-9.9999999999999534E-3</v>
      </c>
      <c r="L15" t="str">
        <f t="shared" si="4"/>
        <v>Stable</v>
      </c>
      <c r="M15" s="16">
        <f t="shared" si="5"/>
        <v>0.372</v>
      </c>
    </row>
    <row r="16" spans="1:13" ht="15.75" customHeight="1" x14ac:dyDescent="0.25">
      <c r="A16" s="2" t="s">
        <v>5</v>
      </c>
      <c r="B16" s="2" t="s">
        <v>20</v>
      </c>
      <c r="C16" s="3">
        <v>0.14000000000000001</v>
      </c>
      <c r="D16" s="3">
        <v>0.36</v>
      </c>
      <c r="E16" s="3">
        <v>0.19</v>
      </c>
      <c r="F16" s="3">
        <v>0.21</v>
      </c>
      <c r="G16" s="3">
        <v>0.13</v>
      </c>
      <c r="H16" s="6">
        <f t="shared" si="0"/>
        <v>0.20599999999999996</v>
      </c>
      <c r="I16" s="6">
        <f t="shared" si="1"/>
        <v>-1.0000000000000009E-2</v>
      </c>
      <c r="J16" s="20">
        <f t="shared" si="2"/>
        <v>9.2357999112150674E-2</v>
      </c>
      <c r="K16" s="6">
        <f t="shared" si="3"/>
        <v>-7.9999999999999988E-2</v>
      </c>
      <c r="L16" t="str">
        <f t="shared" si="4"/>
        <v>Opportunity</v>
      </c>
      <c r="M16" s="16">
        <f t="shared" si="5"/>
        <v>0.16266666666666665</v>
      </c>
    </row>
    <row r="17" spans="1:13" ht="15.75" customHeight="1" x14ac:dyDescent="0.25">
      <c r="A17" s="2" t="s">
        <v>11</v>
      </c>
      <c r="B17" s="2" t="s">
        <v>21</v>
      </c>
      <c r="C17" s="3">
        <v>0.22</v>
      </c>
      <c r="D17" s="3">
        <v>0.18</v>
      </c>
      <c r="E17" s="3">
        <v>0.27</v>
      </c>
      <c r="F17" s="3">
        <v>0.18</v>
      </c>
      <c r="G17" s="3">
        <v>0.18</v>
      </c>
      <c r="H17" s="6">
        <f t="shared" si="0"/>
        <v>0.20600000000000002</v>
      </c>
      <c r="I17" s="6">
        <f t="shared" si="1"/>
        <v>-4.0000000000000008E-2</v>
      </c>
      <c r="J17" s="20">
        <f t="shared" si="2"/>
        <v>3.9749213828703556E-2</v>
      </c>
      <c r="K17" s="6">
        <f t="shared" si="3"/>
        <v>0</v>
      </c>
      <c r="L17" t="str">
        <f t="shared" si="4"/>
        <v>Opportunity</v>
      </c>
      <c r="M17" s="16">
        <f t="shared" si="5"/>
        <v>0.20099999999999998</v>
      </c>
    </row>
    <row r="18" spans="1:13" ht="15.75" customHeight="1" x14ac:dyDescent="0.25">
      <c r="A18" s="2" t="s">
        <v>22</v>
      </c>
      <c r="B18" s="2" t="s">
        <v>23</v>
      </c>
      <c r="C18" s="3">
        <v>0.24</v>
      </c>
      <c r="D18" s="3">
        <v>0.22</v>
      </c>
      <c r="E18" s="3">
        <v>0.2</v>
      </c>
      <c r="F18" s="3">
        <v>0.21</v>
      </c>
      <c r="G18" s="3">
        <v>0.23</v>
      </c>
      <c r="H18" s="6">
        <f t="shared" si="0"/>
        <v>0.21999999999999997</v>
      </c>
      <c r="I18" s="6">
        <f t="shared" si="1"/>
        <v>-9.9999999999999811E-3</v>
      </c>
      <c r="J18" s="20">
        <f t="shared" si="2"/>
        <v>1.5811388300841892E-2</v>
      </c>
      <c r="K18" s="6">
        <f t="shared" si="3"/>
        <v>2.0000000000000018E-2</v>
      </c>
      <c r="L18" t="str">
        <f t="shared" si="4"/>
        <v>Opportunity</v>
      </c>
      <c r="M18" s="16">
        <f t="shared" si="5"/>
        <v>0.21833333333333335</v>
      </c>
    </row>
    <row r="19" spans="1:13" ht="15.75" customHeight="1" x14ac:dyDescent="0.25">
      <c r="A19" s="2" t="s">
        <v>1</v>
      </c>
      <c r="B19" s="2" t="s">
        <v>24</v>
      </c>
      <c r="C19" s="3">
        <v>0.32</v>
      </c>
      <c r="D19" s="3">
        <v>0.39</v>
      </c>
      <c r="E19" s="3">
        <v>0.31</v>
      </c>
      <c r="F19" s="3">
        <v>0.52</v>
      </c>
      <c r="G19" s="3">
        <v>0.39</v>
      </c>
      <c r="H19" s="6">
        <f t="shared" si="0"/>
        <v>0.38600000000000001</v>
      </c>
      <c r="I19" s="6">
        <f t="shared" si="1"/>
        <v>7.0000000000000007E-2</v>
      </c>
      <c r="J19" s="20">
        <f t="shared" si="2"/>
        <v>8.3845095265018058E-2</v>
      </c>
      <c r="K19" s="6">
        <f t="shared" si="3"/>
        <v>-0.13</v>
      </c>
      <c r="L19" t="str">
        <f t="shared" si="4"/>
        <v>Stable</v>
      </c>
      <c r="M19" s="16">
        <f t="shared" si="5"/>
        <v>0.40166666666666667</v>
      </c>
    </row>
    <row r="20" spans="1:13" ht="15.75" customHeight="1" x14ac:dyDescent="0.25">
      <c r="A20" s="2" t="s">
        <v>17</v>
      </c>
      <c r="B20" s="2" t="s">
        <v>25</v>
      </c>
      <c r="C20" s="3">
        <v>0.04</v>
      </c>
      <c r="D20" s="3">
        <v>0</v>
      </c>
      <c r="E20" s="3">
        <v>0.08</v>
      </c>
      <c r="F20" s="3">
        <v>0.31</v>
      </c>
      <c r="G20" s="3">
        <v>0.31</v>
      </c>
      <c r="H20" s="6">
        <f t="shared" si="0"/>
        <v>0.14799999999999999</v>
      </c>
      <c r="I20" s="6">
        <f t="shared" si="1"/>
        <v>0.27</v>
      </c>
      <c r="J20" s="20">
        <f t="shared" si="2"/>
        <v>0.15056560032092323</v>
      </c>
      <c r="K20" s="6">
        <f t="shared" si="3"/>
        <v>0</v>
      </c>
      <c r="L20" t="str">
        <f t="shared" si="4"/>
        <v>Critical</v>
      </c>
      <c r="M20" s="16">
        <f t="shared" si="5"/>
        <v>0.2563333333333333</v>
      </c>
    </row>
    <row r="21" spans="1:13" ht="15.75" customHeight="1" x14ac:dyDescent="0.25">
      <c r="A21" s="2" t="s">
        <v>22</v>
      </c>
      <c r="B21" s="2" t="s">
        <v>26</v>
      </c>
      <c r="C21" s="3">
        <v>0.06</v>
      </c>
      <c r="D21" s="3">
        <v>0.17</v>
      </c>
      <c r="E21" s="3">
        <v>0.17</v>
      </c>
      <c r="F21" s="3">
        <v>0.2</v>
      </c>
      <c r="G21" s="3">
        <v>0.18</v>
      </c>
      <c r="H21" s="6">
        <f t="shared" si="0"/>
        <v>0.156</v>
      </c>
      <c r="I21" s="6">
        <f t="shared" si="1"/>
        <v>0.12</v>
      </c>
      <c r="J21" s="20">
        <f t="shared" si="2"/>
        <v>5.5045435778091581E-2</v>
      </c>
      <c r="K21" s="6">
        <f t="shared" si="3"/>
        <v>-2.0000000000000018E-2</v>
      </c>
      <c r="L21" t="str">
        <f t="shared" si="4"/>
        <v>Opportunity</v>
      </c>
      <c r="M21" s="16">
        <f t="shared" si="5"/>
        <v>0.18233333333333332</v>
      </c>
    </row>
    <row r="22" spans="1:13" ht="15.75" customHeight="1" x14ac:dyDescent="0.25">
      <c r="A22" s="2" t="s">
        <v>11</v>
      </c>
      <c r="B22" s="2" t="s">
        <v>27</v>
      </c>
      <c r="C22" s="3">
        <v>0.11</v>
      </c>
      <c r="D22" s="3">
        <v>0.14000000000000001</v>
      </c>
      <c r="E22" s="3">
        <v>0.21</v>
      </c>
      <c r="F22" s="3">
        <v>0.16</v>
      </c>
      <c r="G22" s="3">
        <v>0.31</v>
      </c>
      <c r="H22" s="6">
        <f t="shared" si="0"/>
        <v>0.186</v>
      </c>
      <c r="I22" s="6">
        <f t="shared" si="1"/>
        <v>0.2</v>
      </c>
      <c r="J22" s="20">
        <f t="shared" si="2"/>
        <v>7.8294316524253602E-2</v>
      </c>
      <c r="K22" s="6">
        <f t="shared" si="3"/>
        <v>0.15</v>
      </c>
      <c r="L22" t="str">
        <f t="shared" si="4"/>
        <v>Opportunity</v>
      </c>
      <c r="M22" s="16">
        <f t="shared" si="5"/>
        <v>0.25166666666666665</v>
      </c>
    </row>
    <row r="23" spans="1:13" ht="15.75" customHeight="1" x14ac:dyDescent="0.25">
      <c r="A23" s="2" t="s">
        <v>1</v>
      </c>
      <c r="B23" s="2" t="s">
        <v>28</v>
      </c>
      <c r="C23" s="3">
        <v>0.15</v>
      </c>
      <c r="D23" s="3">
        <v>0.36</v>
      </c>
      <c r="E23" s="3">
        <v>0.33</v>
      </c>
      <c r="F23" s="3">
        <v>0.4</v>
      </c>
      <c r="G23" s="3">
        <v>0.52</v>
      </c>
      <c r="H23" s="6">
        <f t="shared" si="0"/>
        <v>0.35200000000000004</v>
      </c>
      <c r="I23" s="6">
        <f t="shared" si="1"/>
        <v>0.37</v>
      </c>
      <c r="J23" s="20">
        <f t="shared" si="2"/>
        <v>0.1340522286275016</v>
      </c>
      <c r="K23" s="6">
        <f t="shared" si="3"/>
        <v>0.12</v>
      </c>
      <c r="L23" t="str">
        <f t="shared" si="4"/>
        <v>Stable</v>
      </c>
      <c r="M23" s="16">
        <f t="shared" si="5"/>
        <v>0.44766666666666666</v>
      </c>
    </row>
    <row r="24" spans="1:13" ht="15.75" customHeight="1" x14ac:dyDescent="0.25">
      <c r="A24" s="2" t="s">
        <v>11</v>
      </c>
      <c r="B24" s="2" t="s">
        <v>29</v>
      </c>
      <c r="C24" s="3">
        <v>0.06</v>
      </c>
      <c r="D24" s="3">
        <v>0.11</v>
      </c>
      <c r="E24" s="3">
        <v>0.16</v>
      </c>
      <c r="F24" s="3">
        <v>0.1</v>
      </c>
      <c r="G24" s="3">
        <v>0.24</v>
      </c>
      <c r="H24" s="6">
        <f t="shared" si="0"/>
        <v>0.13399999999999998</v>
      </c>
      <c r="I24" s="6">
        <f t="shared" si="1"/>
        <v>0.18</v>
      </c>
      <c r="J24" s="20">
        <f t="shared" si="2"/>
        <v>6.9137544069774445E-2</v>
      </c>
      <c r="K24" s="6">
        <f t="shared" si="3"/>
        <v>0.13999999999999999</v>
      </c>
      <c r="L24" t="str">
        <f t="shared" si="4"/>
        <v>Critical</v>
      </c>
      <c r="M24" s="16">
        <f t="shared" si="5"/>
        <v>0.18866666666666665</v>
      </c>
    </row>
    <row r="25" spans="1:13" ht="15.75" customHeight="1" x14ac:dyDescent="0.25">
      <c r="A25" s="2" t="s">
        <v>1</v>
      </c>
      <c r="B25" s="2" t="s">
        <v>30</v>
      </c>
      <c r="C25" s="3">
        <v>0.04</v>
      </c>
      <c r="D25" s="3">
        <v>0</v>
      </c>
      <c r="E25" s="3">
        <v>0.12</v>
      </c>
      <c r="F25" s="3">
        <v>0.22</v>
      </c>
      <c r="G25" s="3">
        <v>0.36</v>
      </c>
      <c r="H25" s="6">
        <f t="shared" si="0"/>
        <v>0.14799999999999999</v>
      </c>
      <c r="I25" s="6">
        <f t="shared" si="1"/>
        <v>0.32</v>
      </c>
      <c r="J25" s="20">
        <f t="shared" si="2"/>
        <v>0.14532721699667961</v>
      </c>
      <c r="K25" s="6">
        <f t="shared" si="3"/>
        <v>0.13999999999999999</v>
      </c>
      <c r="L25" t="str">
        <f t="shared" si="4"/>
        <v>Critical</v>
      </c>
      <c r="M25" s="16">
        <f t="shared" si="5"/>
        <v>0.27133333333333332</v>
      </c>
    </row>
    <row r="26" spans="1:13" ht="15.75" customHeight="1" x14ac:dyDescent="0.25">
      <c r="A26" s="2" t="s">
        <v>1</v>
      </c>
      <c r="B26" s="2" t="s">
        <v>31</v>
      </c>
      <c r="C26" s="3">
        <v>0.4</v>
      </c>
      <c r="D26" s="3">
        <v>0.18</v>
      </c>
      <c r="E26" s="3">
        <v>0.28000000000000003</v>
      </c>
      <c r="F26" s="3">
        <v>0.27</v>
      </c>
      <c r="G26" s="3">
        <v>0.46</v>
      </c>
      <c r="H26" s="6">
        <f t="shared" si="0"/>
        <v>0.318</v>
      </c>
      <c r="I26" s="6">
        <f t="shared" si="1"/>
        <v>0.06</v>
      </c>
      <c r="J26" s="20">
        <f t="shared" si="2"/>
        <v>0.11144505372604033</v>
      </c>
      <c r="K26" s="6">
        <f t="shared" si="3"/>
        <v>0.19</v>
      </c>
      <c r="L26" t="str">
        <f t="shared" si="4"/>
        <v>Stable</v>
      </c>
      <c r="M26" s="16">
        <f t="shared" si="5"/>
        <v>0.3736666666666667</v>
      </c>
    </row>
    <row r="27" spans="1:13" ht="15.75" customHeight="1" x14ac:dyDescent="0.25">
      <c r="A27" s="2" t="s">
        <v>1</v>
      </c>
      <c r="B27" s="2" t="s">
        <v>32</v>
      </c>
      <c r="C27" s="3">
        <v>0.17</v>
      </c>
      <c r="D27" s="3">
        <v>0.22</v>
      </c>
      <c r="E27" s="3">
        <v>0.19</v>
      </c>
      <c r="F27" s="3">
        <v>0.31</v>
      </c>
      <c r="G27" s="3">
        <v>0.17</v>
      </c>
      <c r="H27" s="6">
        <f t="shared" si="0"/>
        <v>0.21200000000000002</v>
      </c>
      <c r="I27" s="6">
        <f t="shared" si="1"/>
        <v>0</v>
      </c>
      <c r="J27" s="20">
        <f t="shared" si="2"/>
        <v>5.848076606885378E-2</v>
      </c>
      <c r="K27" s="6">
        <f t="shared" si="3"/>
        <v>-0.13999999999999999</v>
      </c>
      <c r="L27" t="str">
        <f t="shared" si="4"/>
        <v>Opportunity</v>
      </c>
      <c r="M27" s="16">
        <f t="shared" si="5"/>
        <v>0.20733333333333337</v>
      </c>
    </row>
    <row r="28" spans="1:13" ht="15.75" customHeight="1" x14ac:dyDescent="0.25">
      <c r="A28" s="2" t="s">
        <v>1</v>
      </c>
      <c r="B28" s="2" t="s">
        <v>33</v>
      </c>
      <c r="C28" s="3">
        <v>0.36</v>
      </c>
      <c r="D28" s="3">
        <v>0.22</v>
      </c>
      <c r="E28" s="3">
        <v>0.25</v>
      </c>
      <c r="F28" s="3">
        <v>0.26</v>
      </c>
      <c r="G28" s="3">
        <v>0.21</v>
      </c>
      <c r="H28" s="6">
        <f t="shared" si="0"/>
        <v>0.25999999999999995</v>
      </c>
      <c r="I28" s="6">
        <f t="shared" si="1"/>
        <v>-0.15</v>
      </c>
      <c r="J28" s="20">
        <f t="shared" si="2"/>
        <v>5.9581876439065019E-2</v>
      </c>
      <c r="K28" s="6">
        <f t="shared" si="3"/>
        <v>-5.0000000000000017E-2</v>
      </c>
      <c r="L28" t="str">
        <f t="shared" si="4"/>
        <v>Stable</v>
      </c>
      <c r="M28" s="16">
        <f t="shared" si="5"/>
        <v>0.23099999999999998</v>
      </c>
    </row>
    <row r="29" spans="1:13" ht="15.75" customHeight="1" x14ac:dyDescent="0.25">
      <c r="A29" s="2" t="s">
        <v>1</v>
      </c>
      <c r="B29" s="2" t="s">
        <v>34</v>
      </c>
      <c r="C29" s="3">
        <v>0</v>
      </c>
      <c r="D29" s="3">
        <v>0.11</v>
      </c>
      <c r="E29" s="3">
        <v>0.27</v>
      </c>
      <c r="F29" s="3">
        <v>0.36</v>
      </c>
      <c r="G29" s="3">
        <v>0.39</v>
      </c>
      <c r="H29" s="6">
        <f t="shared" si="0"/>
        <v>0.22599999999999998</v>
      </c>
      <c r="I29" s="6">
        <f t="shared" si="1"/>
        <v>0.39</v>
      </c>
      <c r="J29" s="20">
        <f t="shared" si="2"/>
        <v>0.16682325976913417</v>
      </c>
      <c r="K29" s="6">
        <f t="shared" si="3"/>
        <v>3.0000000000000027E-2</v>
      </c>
      <c r="L29" t="str">
        <f t="shared" si="4"/>
        <v>Opportunity</v>
      </c>
      <c r="M29" s="16">
        <f t="shared" si="5"/>
        <v>0.35499999999999998</v>
      </c>
    </row>
    <row r="30" spans="1:13" ht="15.75" customHeight="1" x14ac:dyDescent="0.25">
      <c r="A30" s="2" t="s">
        <v>1</v>
      </c>
      <c r="B30" s="2" t="s">
        <v>35</v>
      </c>
      <c r="C30" s="3">
        <v>0.12</v>
      </c>
      <c r="D30" s="3">
        <v>0.41</v>
      </c>
      <c r="E30" s="3">
        <v>0.19</v>
      </c>
      <c r="F30" s="3">
        <v>0.25</v>
      </c>
      <c r="G30" s="3">
        <v>0.43</v>
      </c>
      <c r="H30" s="6">
        <f t="shared" si="0"/>
        <v>0.27999999999999997</v>
      </c>
      <c r="I30" s="6">
        <f t="shared" si="1"/>
        <v>0.31</v>
      </c>
      <c r="J30" s="20">
        <f t="shared" si="2"/>
        <v>0.13601470508735444</v>
      </c>
      <c r="K30" s="6">
        <f t="shared" si="3"/>
        <v>0.18</v>
      </c>
      <c r="L30" t="str">
        <f t="shared" si="4"/>
        <v>Stable</v>
      </c>
      <c r="M30" s="16">
        <f t="shared" si="5"/>
        <v>0.33199999999999996</v>
      </c>
    </row>
    <row r="31" spans="1:13" ht="15.75" customHeight="1" x14ac:dyDescent="0.25">
      <c r="A31" s="2" t="s">
        <v>5</v>
      </c>
      <c r="B31" s="2" t="s">
        <v>36</v>
      </c>
      <c r="C31" s="3">
        <v>0</v>
      </c>
      <c r="D31" s="3">
        <v>0</v>
      </c>
      <c r="E31" s="3">
        <v>0.56000000000000005</v>
      </c>
      <c r="F31" s="3">
        <v>0.7</v>
      </c>
      <c r="G31" s="3">
        <v>0.57999999999999996</v>
      </c>
      <c r="H31" s="6">
        <f t="shared" si="0"/>
        <v>0.36799999999999999</v>
      </c>
      <c r="I31" s="6">
        <f t="shared" si="1"/>
        <v>0.57999999999999996</v>
      </c>
      <c r="J31" s="20">
        <f t="shared" si="2"/>
        <v>0.34017642481512445</v>
      </c>
      <c r="K31" s="6">
        <f t="shared" si="3"/>
        <v>-0.12</v>
      </c>
      <c r="L31" t="str">
        <f t="shared" si="4"/>
        <v>Stable</v>
      </c>
      <c r="M31" s="16">
        <f t="shared" si="5"/>
        <v>0.60333333333333328</v>
      </c>
    </row>
    <row r="32" spans="1:13" ht="15.75" customHeight="1" x14ac:dyDescent="0.25">
      <c r="A32" s="2" t="s">
        <v>1</v>
      </c>
      <c r="B32" s="2" t="s">
        <v>37</v>
      </c>
      <c r="C32" s="3">
        <v>0.21</v>
      </c>
      <c r="D32" s="3">
        <v>0.09</v>
      </c>
      <c r="E32" s="3">
        <v>7.0000000000000007E-2</v>
      </c>
      <c r="F32" s="3">
        <v>0.1</v>
      </c>
      <c r="G32" s="3">
        <v>0.18</v>
      </c>
      <c r="H32" s="6">
        <f t="shared" si="0"/>
        <v>0.12999999999999998</v>
      </c>
      <c r="I32" s="6">
        <f t="shared" si="1"/>
        <v>-0.03</v>
      </c>
      <c r="J32" s="20">
        <f t="shared" si="2"/>
        <v>6.1237243569579478E-2</v>
      </c>
      <c r="K32" s="6">
        <f t="shared" si="3"/>
        <v>7.9999999999999988E-2</v>
      </c>
      <c r="L32" t="str">
        <f t="shared" si="4"/>
        <v>Critical</v>
      </c>
      <c r="M32" s="16">
        <f t="shared" si="5"/>
        <v>0.13566666666666666</v>
      </c>
    </row>
    <row r="33" spans="1:13" ht="15.75" customHeight="1" x14ac:dyDescent="0.25">
      <c r="A33" s="2" t="s">
        <v>5</v>
      </c>
      <c r="B33" s="2" t="s">
        <v>38</v>
      </c>
      <c r="C33" s="3">
        <v>0.13</v>
      </c>
      <c r="D33" s="3">
        <v>0.22</v>
      </c>
      <c r="E33" s="3">
        <v>0.16</v>
      </c>
      <c r="F33" s="3">
        <v>0.19</v>
      </c>
      <c r="G33" s="3">
        <v>0.23</v>
      </c>
      <c r="H33" s="6">
        <f t="shared" si="0"/>
        <v>0.186</v>
      </c>
      <c r="I33" s="6">
        <f t="shared" si="1"/>
        <v>0.1</v>
      </c>
      <c r="J33" s="20">
        <f t="shared" si="2"/>
        <v>4.1593268686170956E-2</v>
      </c>
      <c r="K33" s="6">
        <f t="shared" si="3"/>
        <v>4.0000000000000008E-2</v>
      </c>
      <c r="L33" t="str">
        <f t="shared" si="4"/>
        <v>Opportunity</v>
      </c>
      <c r="M33" s="16">
        <f t="shared" si="5"/>
        <v>0.20433333333333334</v>
      </c>
    </row>
    <row r="34" spans="1:13" ht="15.75" customHeight="1" x14ac:dyDescent="0.25">
      <c r="A34" s="2" t="s">
        <v>1</v>
      </c>
      <c r="B34" s="2" t="s">
        <v>39</v>
      </c>
      <c r="C34" s="3">
        <v>0.24</v>
      </c>
      <c r="D34" s="3">
        <v>0.21</v>
      </c>
      <c r="E34" s="3">
        <v>0.28000000000000003</v>
      </c>
      <c r="F34" s="3">
        <v>0.31</v>
      </c>
      <c r="G34" s="3">
        <v>0.36</v>
      </c>
      <c r="H34" s="6">
        <f t="shared" si="0"/>
        <v>0.27999999999999997</v>
      </c>
      <c r="I34" s="6">
        <f t="shared" si="1"/>
        <v>0.12</v>
      </c>
      <c r="J34" s="20">
        <f t="shared" si="2"/>
        <v>5.8736700622353727E-2</v>
      </c>
      <c r="K34" s="6">
        <f t="shared" si="3"/>
        <v>4.9999999999999989E-2</v>
      </c>
      <c r="L34" t="str">
        <f t="shared" si="4"/>
        <v>Stable</v>
      </c>
      <c r="M34" s="16">
        <f t="shared" si="5"/>
        <v>0.32966666666666666</v>
      </c>
    </row>
    <row r="35" spans="1:13" ht="15.75" customHeight="1" x14ac:dyDescent="0.25">
      <c r="A35" s="2" t="s">
        <v>22</v>
      </c>
      <c r="B35" s="2" t="s">
        <v>40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6">
        <f t="shared" si="0"/>
        <v>0</v>
      </c>
      <c r="I35" s="6">
        <f t="shared" si="1"/>
        <v>0</v>
      </c>
      <c r="J35" s="20">
        <f t="shared" si="2"/>
        <v>0</v>
      </c>
      <c r="K35" s="6">
        <f t="shared" si="3"/>
        <v>0</v>
      </c>
      <c r="L35" t="str">
        <f t="shared" si="4"/>
        <v>Critical</v>
      </c>
      <c r="M35" s="16">
        <f t="shared" si="5"/>
        <v>0</v>
      </c>
    </row>
    <row r="36" spans="1:13" ht="15.75" customHeight="1" x14ac:dyDescent="0.25">
      <c r="A36" s="2" t="s">
        <v>1</v>
      </c>
      <c r="B36" s="2" t="s">
        <v>41</v>
      </c>
      <c r="C36" s="3">
        <v>0.08</v>
      </c>
      <c r="D36" s="3">
        <v>0.15</v>
      </c>
      <c r="E36" s="3">
        <v>0.33</v>
      </c>
      <c r="F36" s="3">
        <v>0.25</v>
      </c>
      <c r="G36" s="3">
        <v>0.23</v>
      </c>
      <c r="H36" s="6">
        <f t="shared" si="0"/>
        <v>0.20800000000000002</v>
      </c>
      <c r="I36" s="6">
        <f t="shared" si="1"/>
        <v>0.15000000000000002</v>
      </c>
      <c r="J36" s="20">
        <f t="shared" si="2"/>
        <v>9.6020831073262383E-2</v>
      </c>
      <c r="K36" s="6">
        <f t="shared" si="3"/>
        <v>-1.999999999999999E-2</v>
      </c>
      <c r="L36" t="str">
        <f t="shared" si="4"/>
        <v>Opportunity</v>
      </c>
      <c r="M36" s="16">
        <f t="shared" si="5"/>
        <v>0.25800000000000001</v>
      </c>
    </row>
    <row r="37" spans="1:13" ht="15.75" customHeight="1" x14ac:dyDescent="0.25">
      <c r="A37" s="2" t="s">
        <v>1</v>
      </c>
      <c r="B37" s="2" t="s">
        <v>42</v>
      </c>
      <c r="C37" s="3">
        <v>0.28999999999999998</v>
      </c>
      <c r="D37" s="3">
        <v>0.26</v>
      </c>
      <c r="E37" s="3">
        <v>0.28999999999999998</v>
      </c>
      <c r="F37" s="3">
        <v>0.26</v>
      </c>
      <c r="G37" s="3">
        <v>0.46</v>
      </c>
      <c r="H37" s="6">
        <f t="shared" si="0"/>
        <v>0.312</v>
      </c>
      <c r="I37" s="6">
        <f t="shared" si="1"/>
        <v>0.17000000000000004</v>
      </c>
      <c r="J37" s="20">
        <f t="shared" si="2"/>
        <v>8.4083292038311594E-2</v>
      </c>
      <c r="K37" s="6">
        <f t="shared" si="3"/>
        <v>0.2</v>
      </c>
      <c r="L37" t="str">
        <f t="shared" si="4"/>
        <v>Stable</v>
      </c>
      <c r="M37" s="16">
        <f t="shared" si="5"/>
        <v>0.3736666666666667</v>
      </c>
    </row>
    <row r="38" spans="1:13" ht="15.75" customHeight="1" x14ac:dyDescent="0.25">
      <c r="A38" s="2" t="s">
        <v>17</v>
      </c>
      <c r="B38" s="2" t="s">
        <v>43</v>
      </c>
      <c r="C38" s="3">
        <v>0.16</v>
      </c>
      <c r="D38" s="3">
        <v>0</v>
      </c>
      <c r="E38" s="3">
        <v>0.1</v>
      </c>
      <c r="F38" s="3">
        <v>0.16</v>
      </c>
      <c r="G38" s="3">
        <v>0.28999999999999998</v>
      </c>
      <c r="H38" s="6">
        <f t="shared" si="0"/>
        <v>0.14199999999999999</v>
      </c>
      <c r="I38" s="6">
        <f t="shared" si="1"/>
        <v>0.12999999999999998</v>
      </c>
      <c r="J38" s="20">
        <f t="shared" si="2"/>
        <v>0.10545141061171252</v>
      </c>
      <c r="K38" s="6">
        <f t="shared" si="3"/>
        <v>0.12999999999999998</v>
      </c>
      <c r="L38" t="str">
        <f t="shared" si="4"/>
        <v>Critical</v>
      </c>
      <c r="M38" s="16">
        <f t="shared" si="5"/>
        <v>0.21533333333333332</v>
      </c>
    </row>
    <row r="39" spans="1:13" ht="15.75" customHeight="1" x14ac:dyDescent="0.25">
      <c r="A39" s="2" t="s">
        <v>11</v>
      </c>
      <c r="B39" s="2" t="s">
        <v>44</v>
      </c>
      <c r="C39" s="3">
        <v>0.12</v>
      </c>
      <c r="D39" s="3">
        <v>0.25</v>
      </c>
      <c r="E39" s="3">
        <v>7.0000000000000007E-2</v>
      </c>
      <c r="F39" s="3">
        <v>0.1</v>
      </c>
      <c r="G39" s="3">
        <v>7.0000000000000007E-2</v>
      </c>
      <c r="H39" s="6">
        <f t="shared" si="0"/>
        <v>0.12200000000000003</v>
      </c>
      <c r="I39" s="6">
        <f t="shared" si="1"/>
        <v>-4.9999999999999989E-2</v>
      </c>
      <c r="J39" s="20">
        <f t="shared" si="2"/>
        <v>7.4632432628181131E-2</v>
      </c>
      <c r="K39" s="6">
        <f t="shared" si="3"/>
        <v>-0.03</v>
      </c>
      <c r="L39" t="str">
        <f t="shared" si="4"/>
        <v>Critical</v>
      </c>
      <c r="M39" s="16">
        <f t="shared" si="5"/>
        <v>7.6999999999999999E-2</v>
      </c>
    </row>
    <row r="40" spans="1:13" ht="15.75" customHeight="1" x14ac:dyDescent="0.25">
      <c r="A40" s="2" t="s">
        <v>1</v>
      </c>
      <c r="B40" s="2" t="s">
        <v>45</v>
      </c>
      <c r="C40" s="3">
        <v>0.34</v>
      </c>
      <c r="D40" s="3">
        <v>0.33</v>
      </c>
      <c r="E40" s="3">
        <v>0.3</v>
      </c>
      <c r="F40" s="3">
        <v>0.27</v>
      </c>
      <c r="G40" s="3">
        <v>0.35</v>
      </c>
      <c r="H40" s="6">
        <f t="shared" si="0"/>
        <v>0.31799999999999995</v>
      </c>
      <c r="I40" s="6">
        <f t="shared" si="1"/>
        <v>9.9999999999999534E-3</v>
      </c>
      <c r="J40" s="20">
        <f t="shared" si="2"/>
        <v>3.2710854467592247E-2</v>
      </c>
      <c r="K40" s="6">
        <f t="shared" si="3"/>
        <v>7.999999999999996E-2</v>
      </c>
      <c r="L40" t="str">
        <f t="shared" si="4"/>
        <v>Stable</v>
      </c>
      <c r="M40" s="16">
        <f t="shared" si="5"/>
        <v>0.31966666666666665</v>
      </c>
    </row>
    <row r="41" spans="1:13" ht="15.75" customHeight="1" x14ac:dyDescent="0.25">
      <c r="A41" s="2" t="s">
        <v>11</v>
      </c>
      <c r="B41" s="2" t="s">
        <v>46</v>
      </c>
      <c r="C41" s="3">
        <v>0.04</v>
      </c>
      <c r="D41" s="3">
        <v>0.43</v>
      </c>
      <c r="E41" s="3">
        <v>0.2</v>
      </c>
      <c r="F41" s="3">
        <v>0.19</v>
      </c>
      <c r="G41" s="3">
        <v>0.21</v>
      </c>
      <c r="H41" s="6">
        <f t="shared" si="0"/>
        <v>0.21399999999999997</v>
      </c>
      <c r="I41" s="6">
        <f t="shared" si="1"/>
        <v>0.16999999999999998</v>
      </c>
      <c r="J41" s="20">
        <f t="shared" si="2"/>
        <v>0.13939153489362263</v>
      </c>
      <c r="K41" s="6">
        <f t="shared" si="3"/>
        <v>1.999999999999999E-2</v>
      </c>
      <c r="L41" t="str">
        <f t="shared" si="4"/>
        <v>Opportunity</v>
      </c>
      <c r="M41" s="16">
        <f t="shared" si="5"/>
        <v>0.20299999999999999</v>
      </c>
    </row>
    <row r="42" spans="1:13" ht="15.75" customHeight="1" x14ac:dyDescent="0.25">
      <c r="A42" s="2" t="s">
        <v>11</v>
      </c>
      <c r="B42" s="2" t="s">
        <v>47</v>
      </c>
      <c r="C42" s="3">
        <v>7.0000000000000007E-2</v>
      </c>
      <c r="D42" s="3">
        <v>0.22</v>
      </c>
      <c r="E42" s="3">
        <v>0.28000000000000003</v>
      </c>
      <c r="F42" s="3">
        <v>0.27</v>
      </c>
      <c r="G42" s="3">
        <v>0.2</v>
      </c>
      <c r="H42" s="6">
        <f t="shared" si="0"/>
        <v>0.20800000000000002</v>
      </c>
      <c r="I42" s="6">
        <f t="shared" si="1"/>
        <v>0.13</v>
      </c>
      <c r="J42" s="20">
        <f t="shared" si="2"/>
        <v>8.4083292038311636E-2</v>
      </c>
      <c r="K42" s="6">
        <f t="shared" si="3"/>
        <v>-7.0000000000000007E-2</v>
      </c>
      <c r="L42" t="str">
        <f t="shared" si="4"/>
        <v>Opportunity</v>
      </c>
      <c r="M42" s="16">
        <f t="shared" si="5"/>
        <v>0.23499999999999999</v>
      </c>
    </row>
    <row r="43" spans="1:13" ht="15.75" customHeight="1" x14ac:dyDescent="0.25">
      <c r="A43" s="2" t="s">
        <v>7</v>
      </c>
      <c r="B43" s="2" t="s">
        <v>48</v>
      </c>
      <c r="C43" s="3">
        <v>0.08</v>
      </c>
      <c r="D43" s="3">
        <v>0.08</v>
      </c>
      <c r="E43" s="3">
        <v>0.13</v>
      </c>
      <c r="F43" s="3">
        <v>0.28000000000000003</v>
      </c>
      <c r="G43" s="3">
        <v>0.28999999999999998</v>
      </c>
      <c r="H43" s="6">
        <f t="shared" si="0"/>
        <v>0.17200000000000001</v>
      </c>
      <c r="I43" s="6">
        <f t="shared" si="1"/>
        <v>0.20999999999999996</v>
      </c>
      <c r="J43" s="20">
        <f t="shared" si="2"/>
        <v>0.10521406750050108</v>
      </c>
      <c r="K43" s="6">
        <f t="shared" si="3"/>
        <v>9.9999999999999534E-3</v>
      </c>
      <c r="L43" t="str">
        <f t="shared" si="4"/>
        <v>Opportunity</v>
      </c>
      <c r="M43" s="16">
        <f t="shared" si="5"/>
        <v>0.2503333333333333</v>
      </c>
    </row>
    <row r="44" spans="1:13" ht="15.75" customHeight="1" x14ac:dyDescent="0.25">
      <c r="A44" s="2" t="s">
        <v>11</v>
      </c>
      <c r="B44" s="2" t="s">
        <v>49</v>
      </c>
      <c r="C44" s="3">
        <v>0.05</v>
      </c>
      <c r="D44" s="3">
        <v>0.09</v>
      </c>
      <c r="E44" s="3">
        <v>0.13</v>
      </c>
      <c r="F44" s="3">
        <v>0.18</v>
      </c>
      <c r="G44" s="3">
        <v>0.2</v>
      </c>
      <c r="H44" s="6">
        <f t="shared" si="0"/>
        <v>0.13</v>
      </c>
      <c r="I44" s="6">
        <f t="shared" si="1"/>
        <v>0.15000000000000002</v>
      </c>
      <c r="J44" s="20">
        <f t="shared" si="2"/>
        <v>6.2048368229954305E-2</v>
      </c>
      <c r="K44" s="6">
        <f t="shared" si="3"/>
        <v>2.0000000000000018E-2</v>
      </c>
      <c r="L44" t="str">
        <f t="shared" si="4"/>
        <v>Critical</v>
      </c>
      <c r="M44" s="16">
        <f t="shared" si="5"/>
        <v>0.17899999999999999</v>
      </c>
    </row>
    <row r="45" spans="1:13" ht="15.75" customHeight="1" x14ac:dyDescent="0.25">
      <c r="A45" s="2" t="s">
        <v>7</v>
      </c>
      <c r="B45" s="2" t="s">
        <v>50</v>
      </c>
      <c r="C45" s="3">
        <v>0.2</v>
      </c>
      <c r="D45" s="3">
        <v>0.24</v>
      </c>
      <c r="E45" s="3">
        <v>0.14000000000000001</v>
      </c>
      <c r="F45" s="3">
        <v>0.18</v>
      </c>
      <c r="G45" s="3">
        <v>0.25</v>
      </c>
      <c r="H45" s="6">
        <f t="shared" si="0"/>
        <v>0.20200000000000001</v>
      </c>
      <c r="I45" s="6">
        <f t="shared" si="1"/>
        <v>4.9999999999999989E-2</v>
      </c>
      <c r="J45" s="20">
        <f t="shared" si="2"/>
        <v>4.4944410108488472E-2</v>
      </c>
      <c r="K45" s="6">
        <f t="shared" si="3"/>
        <v>7.0000000000000007E-2</v>
      </c>
      <c r="L45" t="str">
        <f t="shared" si="4"/>
        <v>Opportunity</v>
      </c>
      <c r="M45" s="16">
        <f t="shared" si="5"/>
        <v>0.20800000000000002</v>
      </c>
    </row>
    <row r="46" spans="1:13" ht="15.75" customHeight="1" x14ac:dyDescent="0.25">
      <c r="A46" s="2" t="s">
        <v>7</v>
      </c>
      <c r="B46" s="2" t="s">
        <v>51</v>
      </c>
      <c r="C46" s="3">
        <v>0.16</v>
      </c>
      <c r="D46" s="3">
        <v>0.14000000000000001</v>
      </c>
      <c r="E46" s="3">
        <v>0.16</v>
      </c>
      <c r="F46" s="3">
        <v>0.31</v>
      </c>
      <c r="G46" s="3">
        <v>0.35</v>
      </c>
      <c r="H46" s="6">
        <f t="shared" si="0"/>
        <v>0.22400000000000003</v>
      </c>
      <c r="I46" s="6">
        <f t="shared" si="1"/>
        <v>0.18999999999999997</v>
      </c>
      <c r="J46" s="20">
        <f t="shared" si="2"/>
        <v>9.8132563402776679E-2</v>
      </c>
      <c r="K46" s="6">
        <f t="shared" si="3"/>
        <v>3.999999999999998E-2</v>
      </c>
      <c r="L46" t="str">
        <f t="shared" si="4"/>
        <v>Opportunity</v>
      </c>
      <c r="M46" s="16">
        <f t="shared" si="5"/>
        <v>0.29633333333333328</v>
      </c>
    </row>
    <row r="47" spans="1:13" ht="13.2" x14ac:dyDescent="0.25">
      <c r="A47" s="2" t="s">
        <v>1</v>
      </c>
      <c r="B47" s="2" t="s">
        <v>52</v>
      </c>
      <c r="C47" s="3">
        <v>0.31</v>
      </c>
      <c r="D47" s="3">
        <v>0.28000000000000003</v>
      </c>
      <c r="E47" s="3">
        <v>0.4</v>
      </c>
      <c r="F47" s="3">
        <v>0.37</v>
      </c>
      <c r="G47" s="3">
        <v>0.32</v>
      </c>
      <c r="H47" s="6">
        <f t="shared" si="0"/>
        <v>0.33600000000000002</v>
      </c>
      <c r="I47" s="6">
        <f t="shared" si="1"/>
        <v>1.0000000000000009E-2</v>
      </c>
      <c r="J47" s="20">
        <f t="shared" si="2"/>
        <v>4.8270073544588669E-2</v>
      </c>
      <c r="K47" s="6">
        <f t="shared" si="3"/>
        <v>-4.9999999999999989E-2</v>
      </c>
      <c r="L47" t="str">
        <f t="shared" si="4"/>
        <v>Stable</v>
      </c>
      <c r="M47" s="16">
        <f t="shared" si="5"/>
        <v>0.35033333333333327</v>
      </c>
    </row>
    <row r="48" spans="1:13" ht="13.2" x14ac:dyDescent="0.25">
      <c r="A48" s="2" t="s">
        <v>5</v>
      </c>
      <c r="B48" s="2" t="s">
        <v>53</v>
      </c>
      <c r="C48" s="3">
        <v>0.13</v>
      </c>
      <c r="D48" s="3">
        <v>0.21</v>
      </c>
      <c r="E48" s="3">
        <v>0.2</v>
      </c>
      <c r="F48" s="3">
        <v>0.28000000000000003</v>
      </c>
      <c r="G48" s="3">
        <v>0.12</v>
      </c>
      <c r="H48" s="6">
        <f t="shared" si="0"/>
        <v>0.188</v>
      </c>
      <c r="I48" s="6">
        <f t="shared" si="1"/>
        <v>-1.0000000000000009E-2</v>
      </c>
      <c r="J48" s="20">
        <f t="shared" si="2"/>
        <v>6.5345237010818083E-2</v>
      </c>
      <c r="K48" s="6">
        <f t="shared" si="3"/>
        <v>-0.16000000000000003</v>
      </c>
      <c r="L48" t="str">
        <f t="shared" si="4"/>
        <v>Opportunity</v>
      </c>
      <c r="M48" s="16">
        <f t="shared" si="5"/>
        <v>0.17600000000000002</v>
      </c>
    </row>
    <row r="49" spans="1:13" ht="13.2" x14ac:dyDescent="0.25">
      <c r="A49" s="2" t="s">
        <v>11</v>
      </c>
      <c r="B49" s="2" t="s">
        <v>54</v>
      </c>
      <c r="C49" s="3">
        <v>0.11</v>
      </c>
      <c r="D49" s="3">
        <v>0.15</v>
      </c>
      <c r="E49" s="3">
        <v>0.11</v>
      </c>
      <c r="F49" s="3">
        <v>0.15</v>
      </c>
      <c r="G49" s="3">
        <v>0.11</v>
      </c>
      <c r="H49" s="6">
        <f t="shared" si="0"/>
        <v>0.126</v>
      </c>
      <c r="I49" s="6">
        <f t="shared" si="1"/>
        <v>0</v>
      </c>
      <c r="J49" s="20">
        <f t="shared" si="2"/>
        <v>2.1908902300206593E-2</v>
      </c>
      <c r="K49" s="6">
        <f t="shared" si="3"/>
        <v>-3.9999999999999994E-2</v>
      </c>
      <c r="L49" t="str">
        <f t="shared" si="4"/>
        <v>Critical</v>
      </c>
      <c r="M49" s="16">
        <f t="shared" si="5"/>
        <v>0.11933333333333333</v>
      </c>
    </row>
    <row r="50" spans="1:13" ht="13.2" x14ac:dyDescent="0.25">
      <c r="A50" s="2" t="s">
        <v>17</v>
      </c>
      <c r="B50" s="2" t="s">
        <v>55</v>
      </c>
      <c r="C50" s="3">
        <v>0.14000000000000001</v>
      </c>
      <c r="D50" s="3">
        <v>7.0000000000000007E-2</v>
      </c>
      <c r="E50" s="3">
        <v>0.04</v>
      </c>
      <c r="F50" s="3">
        <v>0.15</v>
      </c>
      <c r="G50" s="3">
        <v>0</v>
      </c>
      <c r="H50" s="6">
        <f t="shared" si="0"/>
        <v>0.08</v>
      </c>
      <c r="I50" s="6">
        <f t="shared" si="1"/>
        <v>-0.14000000000000001</v>
      </c>
      <c r="J50" s="20">
        <f t="shared" si="2"/>
        <v>6.442049363362562E-2</v>
      </c>
      <c r="K50" s="6">
        <f t="shared" si="3"/>
        <v>-0.15</v>
      </c>
      <c r="L50" t="str">
        <f t="shared" si="4"/>
        <v>Critical</v>
      </c>
      <c r="M50" s="16">
        <f t="shared" si="5"/>
        <v>4.4333333333333336E-2</v>
      </c>
    </row>
    <row r="51" spans="1:13" ht="13.2" x14ac:dyDescent="0.25">
      <c r="A51" s="2" t="s">
        <v>22</v>
      </c>
      <c r="B51" s="2" t="s">
        <v>56</v>
      </c>
      <c r="C51" s="3">
        <v>0.31</v>
      </c>
      <c r="D51" s="3">
        <v>0.3</v>
      </c>
      <c r="E51" s="3">
        <v>0.38</v>
      </c>
      <c r="F51" s="3">
        <v>0.42</v>
      </c>
      <c r="G51" s="3">
        <v>0.04</v>
      </c>
      <c r="H51" s="6">
        <f t="shared" si="0"/>
        <v>0.28999999999999998</v>
      </c>
      <c r="I51" s="6">
        <f t="shared" si="1"/>
        <v>-0.27</v>
      </c>
      <c r="J51" s="20">
        <f t="shared" si="2"/>
        <v>0.14832396974191334</v>
      </c>
      <c r="K51" s="6">
        <f t="shared" si="3"/>
        <v>-0.38</v>
      </c>
      <c r="L51" t="str">
        <f t="shared" si="4"/>
        <v>Stable</v>
      </c>
      <c r="M51" s="16">
        <f t="shared" si="5"/>
        <v>0.20800000000000002</v>
      </c>
    </row>
    <row r="52" spans="1:13" ht="13.2" x14ac:dyDescent="0.25">
      <c r="A52" s="2" t="s">
        <v>5</v>
      </c>
      <c r="B52" s="2" t="s">
        <v>57</v>
      </c>
      <c r="C52" s="3">
        <v>0.37</v>
      </c>
      <c r="D52" s="3">
        <v>0.28999999999999998</v>
      </c>
      <c r="E52" s="3">
        <v>0.24</v>
      </c>
      <c r="F52" s="3">
        <v>0.3</v>
      </c>
      <c r="G52" s="3">
        <v>0.28999999999999998</v>
      </c>
      <c r="H52" s="6">
        <f t="shared" si="0"/>
        <v>0.29799999999999999</v>
      </c>
      <c r="I52" s="6">
        <f t="shared" si="1"/>
        <v>-8.0000000000000016E-2</v>
      </c>
      <c r="J52" s="20">
        <f t="shared" si="2"/>
        <v>4.6583258795408373E-2</v>
      </c>
      <c r="K52" s="6">
        <f t="shared" si="3"/>
        <v>-1.0000000000000009E-2</v>
      </c>
      <c r="L52" t="str">
        <f t="shared" si="4"/>
        <v>Stable</v>
      </c>
      <c r="M52" s="16">
        <f t="shared" si="5"/>
        <v>0.28066666666666662</v>
      </c>
    </row>
    <row r="53" spans="1:13" ht="13.2" x14ac:dyDescent="0.25">
      <c r="A53" s="2" t="s">
        <v>17</v>
      </c>
      <c r="B53" s="2" t="s">
        <v>58</v>
      </c>
      <c r="C53" s="3">
        <v>0</v>
      </c>
      <c r="D53" s="3">
        <v>0</v>
      </c>
      <c r="E53" s="3">
        <v>0.04</v>
      </c>
      <c r="F53" s="3">
        <v>0.03</v>
      </c>
      <c r="G53" s="3">
        <v>0.13</v>
      </c>
      <c r="H53" s="6">
        <f t="shared" si="0"/>
        <v>0.04</v>
      </c>
      <c r="I53" s="6">
        <f t="shared" si="1"/>
        <v>0.13</v>
      </c>
      <c r="J53" s="20">
        <f t="shared" si="2"/>
        <v>5.3385391260156553E-2</v>
      </c>
      <c r="K53" s="6">
        <f t="shared" si="3"/>
        <v>0.1</v>
      </c>
      <c r="L53" t="str">
        <f t="shared" si="4"/>
        <v>Critical</v>
      </c>
      <c r="M53" s="16">
        <f t="shared" si="5"/>
        <v>8.5666666666666669E-2</v>
      </c>
    </row>
    <row r="54" spans="1:13" ht="13.2" x14ac:dyDescent="0.25">
      <c r="A54" s="2" t="s">
        <v>7</v>
      </c>
      <c r="B54" s="2" t="s">
        <v>59</v>
      </c>
      <c r="C54" s="3">
        <v>0.16</v>
      </c>
      <c r="D54" s="3">
        <v>0.18</v>
      </c>
      <c r="E54" s="3">
        <v>0.16</v>
      </c>
      <c r="F54" s="3">
        <v>0.2</v>
      </c>
      <c r="G54" s="3">
        <v>0.2</v>
      </c>
      <c r="H54" s="6">
        <f t="shared" si="0"/>
        <v>0.18</v>
      </c>
      <c r="I54" s="6">
        <f t="shared" si="1"/>
        <v>4.0000000000000008E-2</v>
      </c>
      <c r="J54" s="20">
        <f t="shared" si="2"/>
        <v>2.0000000000000004E-2</v>
      </c>
      <c r="K54" s="6">
        <f t="shared" si="3"/>
        <v>0</v>
      </c>
      <c r="L54" t="str">
        <f t="shared" si="4"/>
        <v>Opportunity</v>
      </c>
      <c r="M54" s="16">
        <f t="shared" si="5"/>
        <v>0.19066666666666665</v>
      </c>
    </row>
    <row r="55" spans="1:13" ht="13.2" x14ac:dyDescent="0.25">
      <c r="A55" s="2" t="s">
        <v>11</v>
      </c>
      <c r="B55" s="2" t="s">
        <v>60</v>
      </c>
      <c r="C55" s="3">
        <v>0.16</v>
      </c>
      <c r="D55" s="3">
        <v>0.28999999999999998</v>
      </c>
      <c r="E55" s="3">
        <v>0.25</v>
      </c>
      <c r="F55" s="3">
        <v>0.3</v>
      </c>
      <c r="G55" s="3">
        <v>0.33</v>
      </c>
      <c r="H55" s="6">
        <f t="shared" si="0"/>
        <v>0.26600000000000001</v>
      </c>
      <c r="I55" s="6">
        <f t="shared" si="1"/>
        <v>0.17</v>
      </c>
      <c r="J55" s="20">
        <f t="shared" si="2"/>
        <v>6.5802735505448295E-2</v>
      </c>
      <c r="K55" s="6">
        <f t="shared" si="3"/>
        <v>3.0000000000000027E-2</v>
      </c>
      <c r="L55" t="str">
        <f t="shared" si="4"/>
        <v>Stable</v>
      </c>
      <c r="M55" s="16">
        <f t="shared" si="5"/>
        <v>0.30433333333333334</v>
      </c>
    </row>
    <row r="56" spans="1:13" ht="13.2" x14ac:dyDescent="0.25">
      <c r="A56" s="2" t="s">
        <v>22</v>
      </c>
      <c r="B56" s="2" t="s">
        <v>61</v>
      </c>
      <c r="C56" s="3">
        <v>0.15</v>
      </c>
      <c r="D56" s="3">
        <v>0.43</v>
      </c>
      <c r="E56" s="3">
        <v>0.34</v>
      </c>
      <c r="F56" s="3">
        <v>0.37</v>
      </c>
      <c r="G56" s="3">
        <v>0.39</v>
      </c>
      <c r="H56" s="6">
        <f t="shared" si="0"/>
        <v>0.33600000000000002</v>
      </c>
      <c r="I56" s="6">
        <f t="shared" si="1"/>
        <v>0.24000000000000002</v>
      </c>
      <c r="J56" s="20">
        <f t="shared" si="2"/>
        <v>0.10899541274750958</v>
      </c>
      <c r="K56" s="6">
        <f t="shared" si="3"/>
        <v>2.0000000000000018E-2</v>
      </c>
      <c r="L56" t="str">
        <f t="shared" si="4"/>
        <v>Stable</v>
      </c>
      <c r="M56" s="16">
        <f t="shared" si="5"/>
        <v>0.37366666666666665</v>
      </c>
    </row>
    <row r="57" spans="1:13" ht="13.2" x14ac:dyDescent="0.25">
      <c r="A57" s="2" t="s">
        <v>5</v>
      </c>
      <c r="B57" s="2" t="s">
        <v>62</v>
      </c>
      <c r="C57" s="3">
        <v>0.27</v>
      </c>
      <c r="D57" s="3">
        <v>0.28999999999999998</v>
      </c>
      <c r="E57" s="3">
        <v>0.26</v>
      </c>
      <c r="F57" s="3">
        <v>0.33</v>
      </c>
      <c r="G57" s="3">
        <v>0.54</v>
      </c>
      <c r="H57" s="6">
        <f t="shared" si="0"/>
        <v>0.33800000000000002</v>
      </c>
      <c r="I57" s="6">
        <f t="shared" si="1"/>
        <v>0.27</v>
      </c>
      <c r="J57" s="20">
        <f t="shared" si="2"/>
        <v>0.11606032913963316</v>
      </c>
      <c r="K57" s="6">
        <f t="shared" si="3"/>
        <v>0.21000000000000002</v>
      </c>
      <c r="L57" t="str">
        <f t="shared" si="4"/>
        <v>Stable</v>
      </c>
      <c r="M57" s="16">
        <f t="shared" si="5"/>
        <v>0.42566666666666664</v>
      </c>
    </row>
    <row r="58" spans="1:13" ht="13.2" x14ac:dyDescent="0.25">
      <c r="A58" s="2" t="s">
        <v>22</v>
      </c>
      <c r="B58" s="2" t="s">
        <v>63</v>
      </c>
      <c r="C58" s="3">
        <v>0.08</v>
      </c>
      <c r="D58" s="3">
        <v>0.19</v>
      </c>
      <c r="E58" s="3">
        <v>0.31</v>
      </c>
      <c r="F58" s="3">
        <v>0.31</v>
      </c>
      <c r="G58" s="3">
        <v>0.26</v>
      </c>
      <c r="H58" s="6">
        <f t="shared" si="0"/>
        <v>0.23000000000000004</v>
      </c>
      <c r="I58" s="6">
        <f t="shared" si="1"/>
        <v>0.18</v>
      </c>
      <c r="J58" s="20">
        <f t="shared" si="2"/>
        <v>9.7211110476117829E-2</v>
      </c>
      <c r="K58" s="6">
        <f t="shared" si="3"/>
        <v>-4.9999999999999989E-2</v>
      </c>
      <c r="L58" t="str">
        <f t="shared" si="4"/>
        <v>Opportunity</v>
      </c>
      <c r="M58" s="16">
        <f t="shared" si="5"/>
        <v>0.28333333333333333</v>
      </c>
    </row>
    <row r="59" spans="1:13" ht="13.2" x14ac:dyDescent="0.25">
      <c r="A59" s="2" t="s">
        <v>1</v>
      </c>
      <c r="B59" s="2" t="s">
        <v>64</v>
      </c>
      <c r="C59" s="3">
        <v>0.03</v>
      </c>
      <c r="D59" s="3">
        <v>0.15</v>
      </c>
      <c r="E59" s="3">
        <v>0.18</v>
      </c>
      <c r="F59" s="3">
        <v>0.24</v>
      </c>
      <c r="G59" s="3">
        <v>0.13</v>
      </c>
      <c r="H59" s="6">
        <f t="shared" si="0"/>
        <v>0.14599999999999999</v>
      </c>
      <c r="I59" s="6">
        <f t="shared" si="1"/>
        <v>0.1</v>
      </c>
      <c r="J59" s="20">
        <f t="shared" si="2"/>
        <v>7.7006493232713857E-2</v>
      </c>
      <c r="K59" s="6">
        <f t="shared" si="3"/>
        <v>-0.10999999999999999</v>
      </c>
      <c r="L59" t="str">
        <f t="shared" si="4"/>
        <v>Critical</v>
      </c>
      <c r="M59" s="16">
        <f t="shared" si="5"/>
        <v>0.16733333333333333</v>
      </c>
    </row>
    <row r="60" spans="1:13" ht="13.2" x14ac:dyDescent="0.25">
      <c r="A60" s="2" t="s">
        <v>22</v>
      </c>
      <c r="B60" s="2" t="s">
        <v>65</v>
      </c>
      <c r="C60" s="3">
        <v>0.17</v>
      </c>
      <c r="D60" s="3">
        <v>0.28999999999999998</v>
      </c>
      <c r="E60" s="3">
        <v>0.28999999999999998</v>
      </c>
      <c r="F60" s="3">
        <v>0.26</v>
      </c>
      <c r="G60" s="3">
        <v>0.44</v>
      </c>
      <c r="H60" s="6">
        <f t="shared" si="0"/>
        <v>0.28999999999999998</v>
      </c>
      <c r="I60" s="6">
        <f t="shared" si="1"/>
        <v>0.27</v>
      </c>
      <c r="J60" s="20">
        <f t="shared" si="2"/>
        <v>9.7211110476117898E-2</v>
      </c>
      <c r="K60" s="6">
        <f t="shared" si="3"/>
        <v>0.18</v>
      </c>
      <c r="L60" t="str">
        <f t="shared" si="4"/>
        <v>Stable</v>
      </c>
      <c r="M60" s="16">
        <f t="shared" si="5"/>
        <v>0.36299999999999999</v>
      </c>
    </row>
    <row r="61" spans="1:13" ht="13.2" x14ac:dyDescent="0.25">
      <c r="A61" s="2" t="s">
        <v>17</v>
      </c>
      <c r="B61" s="2" t="s">
        <v>66</v>
      </c>
      <c r="C61" s="3">
        <v>0.17</v>
      </c>
      <c r="D61" s="3">
        <v>0.15</v>
      </c>
      <c r="E61" s="3">
        <v>7.0000000000000007E-2</v>
      </c>
      <c r="F61" s="3">
        <v>0.23</v>
      </c>
      <c r="G61" s="3">
        <v>0.83</v>
      </c>
      <c r="H61" s="6">
        <f t="shared" si="0"/>
        <v>0.28999999999999998</v>
      </c>
      <c r="I61" s="6">
        <f t="shared" si="1"/>
        <v>0.65999999999999992</v>
      </c>
      <c r="J61" s="20">
        <f t="shared" si="2"/>
        <v>0.30724582991474431</v>
      </c>
      <c r="K61" s="6">
        <f t="shared" si="3"/>
        <v>0.6</v>
      </c>
      <c r="L61" t="str">
        <f t="shared" si="4"/>
        <v>Stable</v>
      </c>
      <c r="M61" s="16">
        <f t="shared" si="5"/>
        <v>0.5126666666666666</v>
      </c>
    </row>
    <row r="62" spans="1:13" ht="13.2" x14ac:dyDescent="0.25">
      <c r="A62" s="2" t="s">
        <v>5</v>
      </c>
      <c r="B62" s="2" t="s">
        <v>67</v>
      </c>
      <c r="C62" s="3">
        <v>0.26</v>
      </c>
      <c r="D62" s="3">
        <v>0.45</v>
      </c>
      <c r="E62" s="3">
        <v>0.27</v>
      </c>
      <c r="F62" s="3">
        <v>0.22</v>
      </c>
      <c r="G62" s="3">
        <v>0.06</v>
      </c>
      <c r="H62" s="6">
        <f t="shared" si="0"/>
        <v>0.252</v>
      </c>
      <c r="I62" s="6">
        <f t="shared" si="1"/>
        <v>-0.2</v>
      </c>
      <c r="J62" s="20">
        <f t="shared" si="2"/>
        <v>0.13917614738165443</v>
      </c>
      <c r="K62" s="6">
        <f t="shared" si="3"/>
        <v>-0.16</v>
      </c>
      <c r="L62" t="str">
        <f t="shared" si="4"/>
        <v>Stable</v>
      </c>
      <c r="M62" s="16">
        <f t="shared" si="5"/>
        <v>0.14633333333333332</v>
      </c>
    </row>
    <row r="63" spans="1:13" ht="13.2" x14ac:dyDescent="0.25">
      <c r="A63" s="2" t="s">
        <v>22</v>
      </c>
      <c r="B63" s="2" t="s">
        <v>68</v>
      </c>
      <c r="C63" s="3">
        <v>0.19</v>
      </c>
      <c r="D63" s="3">
        <v>0.24</v>
      </c>
      <c r="E63" s="3">
        <v>0.18</v>
      </c>
      <c r="F63" s="3">
        <v>0.28000000000000003</v>
      </c>
      <c r="G63" s="3">
        <v>0.3</v>
      </c>
      <c r="H63" s="6">
        <f t="shared" si="0"/>
        <v>0.23799999999999999</v>
      </c>
      <c r="I63" s="6">
        <f t="shared" si="1"/>
        <v>0.10999999999999999</v>
      </c>
      <c r="J63" s="20">
        <f t="shared" si="2"/>
        <v>5.3103672189407043E-2</v>
      </c>
      <c r="K63" s="6">
        <f t="shared" si="3"/>
        <v>1.9999999999999962E-2</v>
      </c>
      <c r="L63" t="str">
        <f t="shared" si="4"/>
        <v>Opportunity</v>
      </c>
      <c r="M63" s="16">
        <f t="shared" si="5"/>
        <v>0.26733333333333331</v>
      </c>
    </row>
    <row r="64" spans="1:13" ht="13.2" x14ac:dyDescent="0.25">
      <c r="A64" s="2" t="s">
        <v>1</v>
      </c>
      <c r="B64" s="2" t="s">
        <v>69</v>
      </c>
      <c r="C64" s="3">
        <v>0.31</v>
      </c>
      <c r="D64" s="3">
        <v>0.25</v>
      </c>
      <c r="E64" s="3">
        <v>0.32</v>
      </c>
      <c r="F64" s="3">
        <v>0.41</v>
      </c>
      <c r="G64" s="3">
        <v>0.45</v>
      </c>
      <c r="H64" s="6">
        <f t="shared" si="0"/>
        <v>0.34799999999999998</v>
      </c>
      <c r="I64" s="6">
        <f t="shared" si="1"/>
        <v>0.14000000000000001</v>
      </c>
      <c r="J64" s="20">
        <f t="shared" si="2"/>
        <v>8.074651695274522E-2</v>
      </c>
      <c r="K64" s="6">
        <f t="shared" si="3"/>
        <v>4.0000000000000036E-2</v>
      </c>
      <c r="L64" t="str">
        <f t="shared" si="4"/>
        <v>Stable</v>
      </c>
      <c r="M64" s="16">
        <f t="shared" si="5"/>
        <v>0.41033333333333333</v>
      </c>
    </row>
    <row r="65" spans="1:13" ht="13.2" x14ac:dyDescent="0.25">
      <c r="A65" s="2" t="s">
        <v>1</v>
      </c>
      <c r="B65" s="2" t="s">
        <v>70</v>
      </c>
      <c r="C65" s="3">
        <v>0.38</v>
      </c>
      <c r="D65" s="3">
        <v>0.33</v>
      </c>
      <c r="E65" s="3">
        <v>0.39</v>
      </c>
      <c r="F65" s="3">
        <v>0.25</v>
      </c>
      <c r="G65" s="3">
        <v>0.25</v>
      </c>
      <c r="H65" s="6">
        <f t="shared" si="0"/>
        <v>0.32</v>
      </c>
      <c r="I65" s="6">
        <f t="shared" si="1"/>
        <v>-0.13</v>
      </c>
      <c r="J65" s="20">
        <f t="shared" si="2"/>
        <v>6.7823299831252432E-2</v>
      </c>
      <c r="K65" s="6">
        <f t="shared" si="3"/>
        <v>0</v>
      </c>
      <c r="L65" t="str">
        <f t="shared" si="4"/>
        <v>Stable</v>
      </c>
      <c r="M65" s="16">
        <f t="shared" si="5"/>
        <v>0.28266666666666668</v>
      </c>
    </row>
    <row r="66" spans="1:13" ht="13.2" x14ac:dyDescent="0.25">
      <c r="A66" s="2" t="s">
        <v>5</v>
      </c>
      <c r="B66" s="2" t="s">
        <v>71</v>
      </c>
      <c r="C66" s="3">
        <v>0.28000000000000003</v>
      </c>
      <c r="D66" s="3">
        <v>0.35</v>
      </c>
      <c r="E66" s="3">
        <v>0.35</v>
      </c>
      <c r="F66" s="3">
        <v>0.61</v>
      </c>
      <c r="G66" s="3">
        <v>0.48</v>
      </c>
      <c r="H66" s="6">
        <f t="shared" si="0"/>
        <v>0.41399999999999998</v>
      </c>
      <c r="I66" s="6">
        <f t="shared" si="1"/>
        <v>0.19999999999999996</v>
      </c>
      <c r="J66" s="20">
        <f t="shared" si="2"/>
        <v>0.13126309458488331</v>
      </c>
      <c r="K66" s="6">
        <f t="shared" si="3"/>
        <v>-0.13</v>
      </c>
      <c r="L66" t="str">
        <f t="shared" si="4"/>
        <v>Champion</v>
      </c>
      <c r="M66" s="16">
        <f t="shared" si="5"/>
        <v>0.48</v>
      </c>
    </row>
    <row r="67" spans="1:13" ht="13.2" x14ac:dyDescent="0.25">
      <c r="A67" s="2" t="s">
        <v>7</v>
      </c>
      <c r="B67" s="2" t="s">
        <v>72</v>
      </c>
      <c r="C67" s="3">
        <v>0.1</v>
      </c>
      <c r="D67" s="3">
        <v>7.0000000000000007E-2</v>
      </c>
      <c r="E67" s="3">
        <v>0.17</v>
      </c>
      <c r="F67" s="3">
        <v>0.06</v>
      </c>
      <c r="G67" s="3">
        <v>0.46</v>
      </c>
      <c r="H67" s="6">
        <f t="shared" ref="H67:H130" si="6">AVERAGE(C67:G67)</f>
        <v>0.17200000000000001</v>
      </c>
      <c r="I67" s="6">
        <f t="shared" ref="I67:I130" si="7">G67-C67</f>
        <v>0.36</v>
      </c>
      <c r="J67" s="20">
        <f t="shared" ref="J67:J130" si="8">STDEV(C67:G67)</f>
        <v>0.16664333169977127</v>
      </c>
      <c r="K67" s="6">
        <f t="shared" ref="K67:K130" si="9">G67 - F67</f>
        <v>0.4</v>
      </c>
      <c r="L67" t="str">
        <f t="shared" ref="L67:L130" si="10">IF(H67&gt;=40%,"Champion",
 IF(H67&gt;=25%,"Stable",
 IF(H67&gt;=15%,"Opportunity",
 "Critical")))</f>
        <v>Opportunity</v>
      </c>
      <c r="M67" s="16">
        <f t="shared" ref="M67:M130" si="11">(AVERAGE($E67:$G67)*0.7 + $G67*0.3)</f>
        <v>0.29900000000000004</v>
      </c>
    </row>
    <row r="68" spans="1:13" ht="13.2" x14ac:dyDescent="0.25">
      <c r="A68" s="2" t="s">
        <v>17</v>
      </c>
      <c r="B68" s="2" t="s">
        <v>73</v>
      </c>
      <c r="C68" s="3">
        <v>0.15</v>
      </c>
      <c r="D68" s="3">
        <v>0.08</v>
      </c>
      <c r="E68" s="3">
        <v>0.2</v>
      </c>
      <c r="F68" s="3">
        <v>0.32</v>
      </c>
      <c r="G68" s="3">
        <v>0.25</v>
      </c>
      <c r="H68" s="6">
        <f t="shared" si="6"/>
        <v>0.2</v>
      </c>
      <c r="I68" s="6">
        <f t="shared" si="7"/>
        <v>0.1</v>
      </c>
      <c r="J68" s="20">
        <f t="shared" si="8"/>
        <v>9.1923881554251172E-2</v>
      </c>
      <c r="K68" s="6">
        <f t="shared" si="9"/>
        <v>-7.0000000000000007E-2</v>
      </c>
      <c r="L68" t="str">
        <f t="shared" si="10"/>
        <v>Opportunity</v>
      </c>
      <c r="M68" s="16">
        <f t="shared" si="11"/>
        <v>0.25466666666666665</v>
      </c>
    </row>
    <row r="69" spans="1:13" ht="13.2" x14ac:dyDescent="0.25">
      <c r="A69" s="2" t="s">
        <v>1</v>
      </c>
      <c r="B69" s="2" t="s">
        <v>74</v>
      </c>
      <c r="C69" s="3">
        <v>0.2</v>
      </c>
      <c r="D69" s="3">
        <v>0.36</v>
      </c>
      <c r="E69" s="3">
        <v>0.23</v>
      </c>
      <c r="F69" s="3">
        <v>0.28000000000000003</v>
      </c>
      <c r="G69" s="3">
        <v>0.43</v>
      </c>
      <c r="H69" s="6">
        <f t="shared" si="6"/>
        <v>0.3</v>
      </c>
      <c r="I69" s="6">
        <f t="shared" si="7"/>
        <v>0.22999999999999998</v>
      </c>
      <c r="J69" s="20">
        <f t="shared" si="8"/>
        <v>9.4604439642122506E-2</v>
      </c>
      <c r="K69" s="6">
        <f t="shared" si="9"/>
        <v>0.14999999999999997</v>
      </c>
      <c r="L69" t="str">
        <f t="shared" si="10"/>
        <v>Stable</v>
      </c>
      <c r="M69" s="16">
        <f t="shared" si="11"/>
        <v>0.34833333333333327</v>
      </c>
    </row>
    <row r="70" spans="1:13" ht="13.2" x14ac:dyDescent="0.25">
      <c r="A70" s="2" t="s">
        <v>5</v>
      </c>
      <c r="B70" s="2" t="s">
        <v>75</v>
      </c>
      <c r="C70" s="3">
        <v>0.03</v>
      </c>
      <c r="D70" s="3">
        <v>0.23</v>
      </c>
      <c r="E70" s="3">
        <v>0.27</v>
      </c>
      <c r="F70" s="3">
        <v>0.38</v>
      </c>
      <c r="G70" s="3">
        <v>0.21</v>
      </c>
      <c r="H70" s="6">
        <f t="shared" si="6"/>
        <v>0.22400000000000003</v>
      </c>
      <c r="I70" s="6">
        <f t="shared" si="7"/>
        <v>0.18</v>
      </c>
      <c r="J70" s="20">
        <f t="shared" si="8"/>
        <v>0.12680693987317879</v>
      </c>
      <c r="K70" s="6">
        <f t="shared" si="9"/>
        <v>-0.17</v>
      </c>
      <c r="L70" t="str">
        <f t="shared" si="10"/>
        <v>Opportunity</v>
      </c>
      <c r="M70" s="16">
        <f t="shared" si="11"/>
        <v>0.26366666666666666</v>
      </c>
    </row>
    <row r="71" spans="1:13" ht="13.2" x14ac:dyDescent="0.25">
      <c r="A71" s="2" t="s">
        <v>5</v>
      </c>
      <c r="B71" s="2" t="s">
        <v>76</v>
      </c>
      <c r="C71" s="3">
        <v>0.6</v>
      </c>
      <c r="D71" s="3">
        <v>0.67</v>
      </c>
      <c r="E71" s="3">
        <v>0.71</v>
      </c>
      <c r="F71" s="3">
        <v>0.62</v>
      </c>
      <c r="G71" s="3">
        <v>0.33</v>
      </c>
      <c r="H71" s="6">
        <f t="shared" si="6"/>
        <v>0.58600000000000008</v>
      </c>
      <c r="I71" s="6">
        <f t="shared" si="7"/>
        <v>-0.26999999999999996</v>
      </c>
      <c r="J71" s="20">
        <f t="shared" si="8"/>
        <v>0.14943225890014517</v>
      </c>
      <c r="K71" s="6">
        <f t="shared" si="9"/>
        <v>-0.28999999999999998</v>
      </c>
      <c r="L71" t="str">
        <f t="shared" si="10"/>
        <v>Champion</v>
      </c>
      <c r="M71" s="16">
        <f t="shared" si="11"/>
        <v>0.48633333333333328</v>
      </c>
    </row>
    <row r="72" spans="1:13" ht="13.2" x14ac:dyDescent="0.25">
      <c r="A72" s="2" t="s">
        <v>5</v>
      </c>
      <c r="B72" s="2" t="s">
        <v>77</v>
      </c>
      <c r="C72" s="3">
        <v>7.0000000000000007E-2</v>
      </c>
      <c r="D72" s="3">
        <v>0.14000000000000001</v>
      </c>
      <c r="E72" s="3">
        <v>0.19</v>
      </c>
      <c r="F72" s="3">
        <v>0.31</v>
      </c>
      <c r="G72" s="3">
        <v>0.3</v>
      </c>
      <c r="H72" s="6">
        <f t="shared" si="6"/>
        <v>0.20200000000000001</v>
      </c>
      <c r="I72" s="6">
        <f t="shared" si="7"/>
        <v>0.22999999999999998</v>
      </c>
      <c r="J72" s="20">
        <f t="shared" si="8"/>
        <v>0.10329569206893383</v>
      </c>
      <c r="K72" s="6">
        <f t="shared" si="9"/>
        <v>-1.0000000000000009E-2</v>
      </c>
      <c r="L72" t="str">
        <f t="shared" si="10"/>
        <v>Opportunity</v>
      </c>
      <c r="M72" s="16">
        <f t="shared" si="11"/>
        <v>0.27666666666666662</v>
      </c>
    </row>
    <row r="73" spans="1:13" ht="13.2" x14ac:dyDescent="0.25">
      <c r="A73" s="2" t="s">
        <v>1</v>
      </c>
      <c r="B73" s="2" t="s">
        <v>78</v>
      </c>
      <c r="C73" s="3">
        <v>0.02</v>
      </c>
      <c r="D73" s="3">
        <v>0.22</v>
      </c>
      <c r="E73" s="3">
        <v>0.13</v>
      </c>
      <c r="F73" s="3">
        <v>0.25</v>
      </c>
      <c r="G73" s="3">
        <v>0.27</v>
      </c>
      <c r="H73" s="6">
        <f t="shared" si="6"/>
        <v>0.17799999999999999</v>
      </c>
      <c r="I73" s="6">
        <f t="shared" si="7"/>
        <v>0.25</v>
      </c>
      <c r="J73" s="20">
        <f t="shared" si="8"/>
        <v>0.10329569206893383</v>
      </c>
      <c r="K73" s="6">
        <f t="shared" si="9"/>
        <v>2.0000000000000018E-2</v>
      </c>
      <c r="L73" t="str">
        <f t="shared" si="10"/>
        <v>Opportunity</v>
      </c>
      <c r="M73" s="16">
        <f t="shared" si="11"/>
        <v>0.23266666666666669</v>
      </c>
    </row>
    <row r="74" spans="1:13" ht="13.2" x14ac:dyDescent="0.25">
      <c r="A74" s="2" t="s">
        <v>11</v>
      </c>
      <c r="B74" s="2" t="s">
        <v>79</v>
      </c>
      <c r="C74" s="3">
        <v>0.17</v>
      </c>
      <c r="D74" s="3">
        <v>0.28999999999999998</v>
      </c>
      <c r="E74" s="3">
        <v>0.17</v>
      </c>
      <c r="F74" s="3">
        <v>0.16</v>
      </c>
      <c r="G74" s="3">
        <v>0.04</v>
      </c>
      <c r="H74" s="6">
        <f t="shared" si="6"/>
        <v>0.16600000000000001</v>
      </c>
      <c r="I74" s="6">
        <f t="shared" si="7"/>
        <v>-0.13</v>
      </c>
      <c r="J74" s="20">
        <f t="shared" si="8"/>
        <v>8.848728722251574E-2</v>
      </c>
      <c r="K74" s="6">
        <f t="shared" si="9"/>
        <v>-0.12</v>
      </c>
      <c r="L74" t="str">
        <f t="shared" si="10"/>
        <v>Opportunity</v>
      </c>
      <c r="M74" s="16">
        <f t="shared" si="11"/>
        <v>9.8333333333333328E-2</v>
      </c>
    </row>
    <row r="75" spans="1:13" ht="13.2" x14ac:dyDescent="0.25">
      <c r="A75" s="2" t="s">
        <v>7</v>
      </c>
      <c r="B75" s="2" t="s">
        <v>80</v>
      </c>
      <c r="C75" s="3">
        <v>0.12</v>
      </c>
      <c r="D75" s="3">
        <v>0.11</v>
      </c>
      <c r="E75" s="3">
        <v>0.14000000000000001</v>
      </c>
      <c r="F75" s="3">
        <v>0.04</v>
      </c>
      <c r="G75" s="3">
        <v>0.22</v>
      </c>
      <c r="H75" s="6">
        <f t="shared" si="6"/>
        <v>0.126</v>
      </c>
      <c r="I75" s="6">
        <f t="shared" si="7"/>
        <v>0.1</v>
      </c>
      <c r="J75" s="20">
        <f t="shared" si="8"/>
        <v>6.4652919500978429E-2</v>
      </c>
      <c r="K75" s="6">
        <f t="shared" si="9"/>
        <v>0.18</v>
      </c>
      <c r="L75" t="str">
        <f t="shared" si="10"/>
        <v>Critical</v>
      </c>
      <c r="M75" s="16">
        <f t="shared" si="11"/>
        <v>0.15933333333333333</v>
      </c>
    </row>
    <row r="76" spans="1:13" ht="13.2" x14ac:dyDescent="0.25">
      <c r="A76" s="2" t="s">
        <v>22</v>
      </c>
      <c r="B76" s="2" t="s">
        <v>81</v>
      </c>
      <c r="C76" s="3">
        <v>0.01</v>
      </c>
      <c r="D76" s="3">
        <v>0.1</v>
      </c>
      <c r="E76" s="3">
        <v>0.1</v>
      </c>
      <c r="F76" s="3">
        <v>0.24</v>
      </c>
      <c r="G76" s="3">
        <v>0.6</v>
      </c>
      <c r="H76" s="6">
        <f t="shared" si="6"/>
        <v>0.21000000000000002</v>
      </c>
      <c r="I76" s="6">
        <f t="shared" si="7"/>
        <v>0.59</v>
      </c>
      <c r="J76" s="20">
        <f t="shared" si="8"/>
        <v>0.23302360395462085</v>
      </c>
      <c r="K76" s="6">
        <f t="shared" si="9"/>
        <v>0.36</v>
      </c>
      <c r="L76" t="str">
        <f t="shared" si="10"/>
        <v>Opportunity</v>
      </c>
      <c r="M76" s="16">
        <f t="shared" si="11"/>
        <v>0.39933333333333332</v>
      </c>
    </row>
    <row r="77" spans="1:13" ht="13.2" x14ac:dyDescent="0.25">
      <c r="A77" s="2" t="s">
        <v>22</v>
      </c>
      <c r="B77" s="2" t="s">
        <v>82</v>
      </c>
      <c r="C77" s="3">
        <v>0.11</v>
      </c>
      <c r="D77" s="3">
        <v>0.13</v>
      </c>
      <c r="E77" s="3">
        <v>0.11</v>
      </c>
      <c r="F77" s="3">
        <v>0.18</v>
      </c>
      <c r="G77" s="3">
        <v>0.23</v>
      </c>
      <c r="H77" s="6">
        <f t="shared" si="6"/>
        <v>0.152</v>
      </c>
      <c r="I77" s="6">
        <f t="shared" si="7"/>
        <v>0.12000000000000001</v>
      </c>
      <c r="J77" s="20">
        <f t="shared" si="8"/>
        <v>5.2153619241621228E-2</v>
      </c>
      <c r="K77" s="6">
        <f t="shared" si="9"/>
        <v>5.0000000000000017E-2</v>
      </c>
      <c r="L77" t="str">
        <f t="shared" si="10"/>
        <v>Opportunity</v>
      </c>
      <c r="M77" s="16">
        <f t="shared" si="11"/>
        <v>0.19033333333333335</v>
      </c>
    </row>
    <row r="78" spans="1:13" ht="13.2" x14ac:dyDescent="0.25">
      <c r="A78" s="2" t="s">
        <v>1</v>
      </c>
      <c r="B78" s="2" t="s">
        <v>83</v>
      </c>
      <c r="C78" s="3">
        <v>0.23</v>
      </c>
      <c r="D78" s="3">
        <v>0.11</v>
      </c>
      <c r="E78" s="3">
        <v>0.22</v>
      </c>
      <c r="F78" s="3">
        <v>0.38</v>
      </c>
      <c r="G78" s="3">
        <v>0.28999999999999998</v>
      </c>
      <c r="H78" s="6">
        <f t="shared" si="6"/>
        <v>0.246</v>
      </c>
      <c r="I78" s="6">
        <f t="shared" si="7"/>
        <v>5.999999999999997E-2</v>
      </c>
      <c r="J78" s="20">
        <f t="shared" si="8"/>
        <v>9.9146356463563595E-2</v>
      </c>
      <c r="K78" s="6">
        <f t="shared" si="9"/>
        <v>-9.0000000000000024E-2</v>
      </c>
      <c r="L78" t="str">
        <f t="shared" si="10"/>
        <v>Opportunity</v>
      </c>
      <c r="M78" s="16">
        <f t="shared" si="11"/>
        <v>0.29466666666666663</v>
      </c>
    </row>
    <row r="79" spans="1:13" ht="13.2" x14ac:dyDescent="0.25">
      <c r="A79" s="2" t="s">
        <v>22</v>
      </c>
      <c r="B79" s="2" t="s">
        <v>84</v>
      </c>
      <c r="C79" s="3">
        <v>7.0000000000000007E-2</v>
      </c>
      <c r="D79" s="3">
        <v>0.25</v>
      </c>
      <c r="E79" s="3">
        <v>0.1</v>
      </c>
      <c r="F79" s="3">
        <v>0.16</v>
      </c>
      <c r="G79" s="3">
        <v>0.11</v>
      </c>
      <c r="H79" s="6">
        <f t="shared" si="6"/>
        <v>0.13800000000000001</v>
      </c>
      <c r="I79" s="6">
        <f t="shared" si="7"/>
        <v>3.9999999999999994E-2</v>
      </c>
      <c r="J79" s="20">
        <f t="shared" si="8"/>
        <v>7.0498226928058239E-2</v>
      </c>
      <c r="K79" s="6">
        <f t="shared" si="9"/>
        <v>-0.05</v>
      </c>
      <c r="L79" t="str">
        <f t="shared" si="10"/>
        <v>Critical</v>
      </c>
      <c r="M79" s="16">
        <f t="shared" si="11"/>
        <v>0.11933333333333333</v>
      </c>
    </row>
    <row r="80" spans="1:13" ht="13.2" x14ac:dyDescent="0.25">
      <c r="A80" s="2" t="s">
        <v>7</v>
      </c>
      <c r="B80" s="2" t="s">
        <v>85</v>
      </c>
      <c r="C80" s="3">
        <v>0.13</v>
      </c>
      <c r="D80" s="3">
        <v>0.23</v>
      </c>
      <c r="E80" s="3">
        <v>0.1</v>
      </c>
      <c r="F80" s="3">
        <v>0.06</v>
      </c>
      <c r="G80" s="3">
        <v>0.16</v>
      </c>
      <c r="H80" s="6">
        <f t="shared" si="6"/>
        <v>0.13600000000000001</v>
      </c>
      <c r="I80" s="6">
        <f t="shared" si="7"/>
        <v>0.03</v>
      </c>
      <c r="J80" s="20">
        <f t="shared" si="8"/>
        <v>6.4265076052238496E-2</v>
      </c>
      <c r="K80" s="6">
        <f t="shared" si="9"/>
        <v>0.1</v>
      </c>
      <c r="L80" t="str">
        <f t="shared" si="10"/>
        <v>Critical</v>
      </c>
      <c r="M80" s="16">
        <f t="shared" si="11"/>
        <v>0.12266666666666667</v>
      </c>
    </row>
    <row r="81" spans="1:13" ht="13.2" x14ac:dyDescent="0.25">
      <c r="A81" s="2" t="s">
        <v>17</v>
      </c>
      <c r="B81" s="2" t="s">
        <v>86</v>
      </c>
      <c r="C81" s="3">
        <v>0.1</v>
      </c>
      <c r="D81" s="3">
        <v>0.04</v>
      </c>
      <c r="E81" s="3">
        <v>0.11</v>
      </c>
      <c r="F81" s="3">
        <v>0.24</v>
      </c>
      <c r="G81" s="3">
        <v>0.22</v>
      </c>
      <c r="H81" s="6">
        <f t="shared" si="6"/>
        <v>0.14199999999999999</v>
      </c>
      <c r="I81" s="6">
        <f t="shared" si="7"/>
        <v>0.12</v>
      </c>
      <c r="J81" s="20">
        <f t="shared" si="8"/>
        <v>8.4970583144991993E-2</v>
      </c>
      <c r="K81" s="6">
        <f t="shared" si="9"/>
        <v>-1.999999999999999E-2</v>
      </c>
      <c r="L81" t="str">
        <f t="shared" si="10"/>
        <v>Critical</v>
      </c>
      <c r="M81" s="16">
        <f t="shared" si="11"/>
        <v>0.19899999999999998</v>
      </c>
    </row>
    <row r="82" spans="1:13" ht="13.2" x14ac:dyDescent="0.25">
      <c r="A82" s="2" t="s">
        <v>11</v>
      </c>
      <c r="B82" s="2" t="s">
        <v>87</v>
      </c>
      <c r="C82" s="3">
        <v>0.03</v>
      </c>
      <c r="D82" s="3">
        <v>0.05</v>
      </c>
      <c r="E82" s="3">
        <v>0.02</v>
      </c>
      <c r="F82" s="3">
        <v>0.08</v>
      </c>
      <c r="G82" s="3">
        <v>0.25</v>
      </c>
      <c r="H82" s="6">
        <f t="shared" si="6"/>
        <v>8.5999999999999993E-2</v>
      </c>
      <c r="I82" s="6">
        <f t="shared" si="7"/>
        <v>0.22</v>
      </c>
      <c r="J82" s="20">
        <f t="shared" si="8"/>
        <v>9.4498677239419598E-2</v>
      </c>
      <c r="K82" s="6">
        <f t="shared" si="9"/>
        <v>0.16999999999999998</v>
      </c>
      <c r="L82" t="str">
        <f t="shared" si="10"/>
        <v>Critical</v>
      </c>
      <c r="M82" s="16">
        <f t="shared" si="11"/>
        <v>0.15666666666666665</v>
      </c>
    </row>
    <row r="83" spans="1:13" ht="13.2" x14ac:dyDescent="0.25">
      <c r="A83" s="2" t="s">
        <v>1</v>
      </c>
      <c r="B83" s="2" t="s">
        <v>88</v>
      </c>
      <c r="C83" s="3">
        <v>0.19</v>
      </c>
      <c r="D83" s="3">
        <v>0.42</v>
      </c>
      <c r="E83" s="3">
        <v>0.45</v>
      </c>
      <c r="F83" s="3">
        <v>0.44</v>
      </c>
      <c r="G83" s="3">
        <v>0.45</v>
      </c>
      <c r="H83" s="6">
        <f t="shared" si="6"/>
        <v>0.39</v>
      </c>
      <c r="I83" s="6">
        <f t="shared" si="7"/>
        <v>0.26</v>
      </c>
      <c r="J83" s="20">
        <f t="shared" si="8"/>
        <v>0.11247221879202002</v>
      </c>
      <c r="K83" s="6">
        <f t="shared" si="9"/>
        <v>1.0000000000000009E-2</v>
      </c>
      <c r="L83" t="str">
        <f t="shared" si="10"/>
        <v>Stable</v>
      </c>
      <c r="M83" s="16">
        <f t="shared" si="11"/>
        <v>0.44766666666666671</v>
      </c>
    </row>
    <row r="84" spans="1:13" ht="13.2" x14ac:dyDescent="0.25">
      <c r="A84" s="2" t="s">
        <v>17</v>
      </c>
      <c r="B84" s="2" t="s">
        <v>89</v>
      </c>
      <c r="C84" s="3">
        <v>0.11</v>
      </c>
      <c r="D84" s="3">
        <v>0.08</v>
      </c>
      <c r="E84" s="3">
        <v>0.16</v>
      </c>
      <c r="F84" s="3">
        <v>0.18</v>
      </c>
      <c r="G84" s="3">
        <v>0.1</v>
      </c>
      <c r="H84" s="6">
        <f t="shared" si="6"/>
        <v>0.126</v>
      </c>
      <c r="I84" s="6">
        <f t="shared" si="7"/>
        <v>-9.999999999999995E-3</v>
      </c>
      <c r="J84" s="20">
        <f t="shared" si="8"/>
        <v>4.2190046219457933E-2</v>
      </c>
      <c r="K84" s="6">
        <f t="shared" si="9"/>
        <v>-7.9999999999999988E-2</v>
      </c>
      <c r="L84" t="str">
        <f t="shared" si="10"/>
        <v>Critical</v>
      </c>
      <c r="M84" s="16">
        <f t="shared" si="11"/>
        <v>0.13266666666666665</v>
      </c>
    </row>
    <row r="85" spans="1:13" ht="13.2" x14ac:dyDescent="0.25">
      <c r="A85" s="2" t="s">
        <v>1</v>
      </c>
      <c r="B85" s="2" t="s">
        <v>90</v>
      </c>
      <c r="C85" s="3">
        <v>0.3</v>
      </c>
      <c r="D85" s="3">
        <v>0.37</v>
      </c>
      <c r="E85" s="3">
        <v>0.24</v>
      </c>
      <c r="F85" s="3">
        <v>0.31</v>
      </c>
      <c r="G85" s="3">
        <v>0</v>
      </c>
      <c r="H85" s="6">
        <f t="shared" si="6"/>
        <v>0.24399999999999999</v>
      </c>
      <c r="I85" s="6">
        <f t="shared" si="7"/>
        <v>-0.3</v>
      </c>
      <c r="J85" s="20">
        <f t="shared" si="8"/>
        <v>0.1439791651594077</v>
      </c>
      <c r="K85" s="6">
        <f t="shared" si="9"/>
        <v>-0.31</v>
      </c>
      <c r="L85" t="str">
        <f t="shared" si="10"/>
        <v>Opportunity</v>
      </c>
      <c r="M85" s="16">
        <f t="shared" si="11"/>
        <v>0.12833333333333333</v>
      </c>
    </row>
    <row r="86" spans="1:13" ht="13.2" x14ac:dyDescent="0.25">
      <c r="A86" s="2" t="s">
        <v>17</v>
      </c>
      <c r="B86" s="2" t="s">
        <v>91</v>
      </c>
      <c r="C86" s="3">
        <v>0.02</v>
      </c>
      <c r="D86" s="3">
        <v>0.15</v>
      </c>
      <c r="E86" s="3">
        <v>0.11</v>
      </c>
      <c r="F86" s="3">
        <v>0.24</v>
      </c>
      <c r="G86" s="3">
        <v>0.25</v>
      </c>
      <c r="H86" s="6">
        <f t="shared" si="6"/>
        <v>0.154</v>
      </c>
      <c r="I86" s="6">
        <f t="shared" si="7"/>
        <v>0.23</v>
      </c>
      <c r="J86" s="20">
        <f t="shared" si="8"/>
        <v>9.5551033484730069E-2</v>
      </c>
      <c r="K86" s="6">
        <f t="shared" si="9"/>
        <v>1.0000000000000009E-2</v>
      </c>
      <c r="L86" t="str">
        <f t="shared" si="10"/>
        <v>Opportunity</v>
      </c>
      <c r="M86" s="16">
        <f t="shared" si="11"/>
        <v>0.21499999999999997</v>
      </c>
    </row>
    <row r="87" spans="1:13" ht="13.2" x14ac:dyDescent="0.25">
      <c r="A87" s="2" t="s">
        <v>11</v>
      </c>
      <c r="B87" s="2" t="s">
        <v>92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6">
        <f t="shared" si="6"/>
        <v>0</v>
      </c>
      <c r="I87" s="6">
        <f t="shared" si="7"/>
        <v>0</v>
      </c>
      <c r="J87" s="20">
        <f t="shared" si="8"/>
        <v>0</v>
      </c>
      <c r="K87" s="6">
        <f t="shared" si="9"/>
        <v>0</v>
      </c>
      <c r="L87" t="str">
        <f t="shared" si="10"/>
        <v>Critical</v>
      </c>
      <c r="M87" s="16">
        <f t="shared" si="11"/>
        <v>0</v>
      </c>
    </row>
    <row r="88" spans="1:13" ht="13.2" x14ac:dyDescent="0.25">
      <c r="A88" s="2" t="s">
        <v>7</v>
      </c>
      <c r="B88" s="2" t="s">
        <v>93</v>
      </c>
      <c r="C88" s="3">
        <v>0.09</v>
      </c>
      <c r="D88" s="3">
        <v>0</v>
      </c>
      <c r="E88" s="3">
        <v>0.14000000000000001</v>
      </c>
      <c r="F88" s="3">
        <v>0.15</v>
      </c>
      <c r="G88" s="3">
        <v>0.23</v>
      </c>
      <c r="H88" s="6">
        <f t="shared" si="6"/>
        <v>0.122</v>
      </c>
      <c r="I88" s="6">
        <f t="shared" si="7"/>
        <v>0.14000000000000001</v>
      </c>
      <c r="J88" s="20">
        <f t="shared" si="8"/>
        <v>8.467585252006618E-2</v>
      </c>
      <c r="K88" s="6">
        <f t="shared" si="9"/>
        <v>8.0000000000000016E-2</v>
      </c>
      <c r="L88" t="str">
        <f t="shared" si="10"/>
        <v>Critical</v>
      </c>
      <c r="M88" s="16">
        <f t="shared" si="11"/>
        <v>0.19033333333333335</v>
      </c>
    </row>
    <row r="89" spans="1:13" ht="13.2" x14ac:dyDescent="0.25">
      <c r="A89" s="2" t="s">
        <v>22</v>
      </c>
      <c r="B89" s="2" t="s">
        <v>94</v>
      </c>
      <c r="C89" s="3">
        <v>7.0000000000000007E-2</v>
      </c>
      <c r="D89" s="3">
        <v>0.17</v>
      </c>
      <c r="E89" s="3">
        <v>0.11</v>
      </c>
      <c r="F89" s="3">
        <v>0.16</v>
      </c>
      <c r="G89" s="3">
        <v>0.06</v>
      </c>
      <c r="H89" s="6">
        <f t="shared" si="6"/>
        <v>0.11400000000000002</v>
      </c>
      <c r="I89" s="6">
        <f t="shared" si="7"/>
        <v>-1.0000000000000009E-2</v>
      </c>
      <c r="J89" s="20">
        <f t="shared" si="8"/>
        <v>5.0299105359837178E-2</v>
      </c>
      <c r="K89" s="6">
        <f t="shared" si="9"/>
        <v>-0.1</v>
      </c>
      <c r="L89" t="str">
        <f t="shared" si="10"/>
        <v>Critical</v>
      </c>
      <c r="M89" s="16">
        <f t="shared" si="11"/>
        <v>9.5000000000000001E-2</v>
      </c>
    </row>
    <row r="90" spans="1:13" ht="13.2" x14ac:dyDescent="0.25">
      <c r="A90" s="2" t="s">
        <v>7</v>
      </c>
      <c r="B90" s="2" t="s">
        <v>95</v>
      </c>
      <c r="C90" s="3">
        <v>0.04</v>
      </c>
      <c r="D90" s="3">
        <v>0.28000000000000003</v>
      </c>
      <c r="E90" s="3">
        <v>0.03</v>
      </c>
      <c r="F90" s="3">
        <v>7.0000000000000007E-2</v>
      </c>
      <c r="G90" s="3">
        <v>0.23</v>
      </c>
      <c r="H90" s="6">
        <f t="shared" si="6"/>
        <v>0.13</v>
      </c>
      <c r="I90" s="6">
        <f t="shared" si="7"/>
        <v>0.19</v>
      </c>
      <c r="J90" s="20">
        <f t="shared" si="8"/>
        <v>0.11640446726822817</v>
      </c>
      <c r="K90" s="6">
        <f t="shared" si="9"/>
        <v>0.16</v>
      </c>
      <c r="L90" t="str">
        <f t="shared" si="10"/>
        <v>Critical</v>
      </c>
      <c r="M90" s="16">
        <f t="shared" si="11"/>
        <v>0.14600000000000002</v>
      </c>
    </row>
    <row r="91" spans="1:13" ht="13.2" x14ac:dyDescent="0.25">
      <c r="A91" s="2" t="s">
        <v>17</v>
      </c>
      <c r="B91" s="2" t="s">
        <v>96</v>
      </c>
      <c r="C91" s="3">
        <v>0.03</v>
      </c>
      <c r="D91" s="3">
        <v>0.11</v>
      </c>
      <c r="E91" s="3">
        <v>0.02</v>
      </c>
      <c r="F91" s="3">
        <v>0.13</v>
      </c>
      <c r="G91" s="3">
        <v>0.28999999999999998</v>
      </c>
      <c r="H91" s="6">
        <f t="shared" si="6"/>
        <v>0.11600000000000002</v>
      </c>
      <c r="I91" s="6">
        <f t="shared" si="7"/>
        <v>0.26</v>
      </c>
      <c r="J91" s="20">
        <f t="shared" si="8"/>
        <v>0.10853570840972106</v>
      </c>
      <c r="K91" s="6">
        <f t="shared" si="9"/>
        <v>0.15999999999999998</v>
      </c>
      <c r="L91" t="str">
        <f t="shared" si="10"/>
        <v>Critical</v>
      </c>
      <c r="M91" s="16">
        <f t="shared" si="11"/>
        <v>0.18966666666666665</v>
      </c>
    </row>
    <row r="92" spans="1:13" ht="13.2" x14ac:dyDescent="0.25">
      <c r="A92" s="2" t="s">
        <v>1</v>
      </c>
      <c r="B92" s="2" t="s">
        <v>97</v>
      </c>
      <c r="C92" s="3">
        <v>0.2</v>
      </c>
      <c r="D92" s="3">
        <v>0.17</v>
      </c>
      <c r="E92" s="3">
        <v>0.19</v>
      </c>
      <c r="F92" s="3">
        <v>0.28000000000000003</v>
      </c>
      <c r="G92" s="3">
        <v>0.15</v>
      </c>
      <c r="H92" s="6">
        <f t="shared" si="6"/>
        <v>0.19800000000000001</v>
      </c>
      <c r="I92" s="6">
        <f t="shared" si="7"/>
        <v>-5.0000000000000017E-2</v>
      </c>
      <c r="J92" s="20">
        <f t="shared" si="8"/>
        <v>4.9699094559156637E-2</v>
      </c>
      <c r="K92" s="6">
        <f t="shared" si="9"/>
        <v>-0.13000000000000003</v>
      </c>
      <c r="L92" t="str">
        <f t="shared" si="10"/>
        <v>Opportunity</v>
      </c>
      <c r="M92" s="16">
        <f t="shared" si="11"/>
        <v>0.18966666666666665</v>
      </c>
    </row>
    <row r="93" spans="1:13" ht="13.2" x14ac:dyDescent="0.25">
      <c r="A93" s="2" t="s">
        <v>1</v>
      </c>
      <c r="B93" s="2" t="s">
        <v>98</v>
      </c>
      <c r="C93" s="3">
        <v>0.32</v>
      </c>
      <c r="D93" s="3">
        <v>0</v>
      </c>
      <c r="E93" s="3">
        <v>0.43</v>
      </c>
      <c r="F93" s="3">
        <v>0.28999999999999998</v>
      </c>
      <c r="G93" s="3">
        <v>0.75</v>
      </c>
      <c r="H93" s="6">
        <f t="shared" si="6"/>
        <v>0.35799999999999998</v>
      </c>
      <c r="I93" s="6">
        <f t="shared" si="7"/>
        <v>0.43</v>
      </c>
      <c r="J93" s="20">
        <f t="shared" si="8"/>
        <v>0.27068431797945003</v>
      </c>
      <c r="K93" s="6">
        <f t="shared" si="9"/>
        <v>0.46</v>
      </c>
      <c r="L93" t="str">
        <f t="shared" si="10"/>
        <v>Stable</v>
      </c>
      <c r="M93" s="16">
        <f t="shared" si="11"/>
        <v>0.56799999999999995</v>
      </c>
    </row>
    <row r="94" spans="1:13" ht="13.2" x14ac:dyDescent="0.25">
      <c r="A94" s="2" t="s">
        <v>7</v>
      </c>
      <c r="B94" s="2" t="s">
        <v>99</v>
      </c>
      <c r="C94" s="3">
        <v>0.23</v>
      </c>
      <c r="D94" s="3">
        <v>0.21</v>
      </c>
      <c r="E94" s="3">
        <v>0.17</v>
      </c>
      <c r="F94" s="3">
        <v>0.14000000000000001</v>
      </c>
      <c r="G94" s="3">
        <v>0.3</v>
      </c>
      <c r="H94" s="6">
        <f t="shared" si="6"/>
        <v>0.21000000000000002</v>
      </c>
      <c r="I94" s="6">
        <f t="shared" si="7"/>
        <v>6.9999999999999979E-2</v>
      </c>
      <c r="J94" s="20">
        <f t="shared" si="8"/>
        <v>6.1237243569579478E-2</v>
      </c>
      <c r="K94" s="6">
        <f t="shared" si="9"/>
        <v>0.15999999999999998</v>
      </c>
      <c r="L94" t="str">
        <f t="shared" si="10"/>
        <v>Opportunity</v>
      </c>
      <c r="M94" s="16">
        <f t="shared" si="11"/>
        <v>0.23233333333333334</v>
      </c>
    </row>
    <row r="95" spans="1:13" ht="13.2" x14ac:dyDescent="0.25">
      <c r="A95" s="2" t="s">
        <v>1</v>
      </c>
      <c r="B95" s="2" t="s">
        <v>100</v>
      </c>
      <c r="C95" s="3">
        <v>7.0000000000000007E-2</v>
      </c>
      <c r="D95" s="3">
        <v>0.33</v>
      </c>
      <c r="E95" s="3">
        <v>0.17</v>
      </c>
      <c r="F95" s="3">
        <v>0.2</v>
      </c>
      <c r="G95" s="3">
        <v>0.05</v>
      </c>
      <c r="H95" s="6">
        <f t="shared" si="6"/>
        <v>0.16400000000000001</v>
      </c>
      <c r="I95" s="6">
        <f t="shared" si="7"/>
        <v>-2.0000000000000004E-2</v>
      </c>
      <c r="J95" s="20">
        <f t="shared" si="8"/>
        <v>0.11260550608207399</v>
      </c>
      <c r="K95" s="6">
        <f t="shared" si="9"/>
        <v>-0.15000000000000002</v>
      </c>
      <c r="L95" t="str">
        <f t="shared" si="10"/>
        <v>Opportunity</v>
      </c>
      <c r="M95" s="16">
        <f t="shared" si="11"/>
        <v>0.11299999999999999</v>
      </c>
    </row>
    <row r="96" spans="1:13" ht="13.2" x14ac:dyDescent="0.25">
      <c r="A96" s="2" t="s">
        <v>17</v>
      </c>
      <c r="B96" s="2" t="s">
        <v>101</v>
      </c>
      <c r="C96" s="3">
        <v>0.21</v>
      </c>
      <c r="D96" s="3">
        <v>0.09</v>
      </c>
      <c r="E96" s="3">
        <v>0.11</v>
      </c>
      <c r="F96" s="3">
        <v>0.17</v>
      </c>
      <c r="G96" s="3">
        <v>0.31</v>
      </c>
      <c r="H96" s="6">
        <f t="shared" si="6"/>
        <v>0.17799999999999999</v>
      </c>
      <c r="I96" s="6">
        <f t="shared" si="7"/>
        <v>0.1</v>
      </c>
      <c r="J96" s="20">
        <f t="shared" si="8"/>
        <v>8.786353054595529E-2</v>
      </c>
      <c r="K96" s="6">
        <f t="shared" si="9"/>
        <v>0.13999999999999999</v>
      </c>
      <c r="L96" t="str">
        <f t="shared" si="10"/>
        <v>Opportunity</v>
      </c>
      <c r="M96" s="16">
        <f t="shared" si="11"/>
        <v>0.23066666666666666</v>
      </c>
    </row>
    <row r="97" spans="1:13" ht="13.2" x14ac:dyDescent="0.25">
      <c r="A97" s="2" t="s">
        <v>17</v>
      </c>
      <c r="B97" s="2" t="s">
        <v>102</v>
      </c>
      <c r="C97" s="3">
        <v>0.18</v>
      </c>
      <c r="D97" s="3">
        <v>0.2</v>
      </c>
      <c r="E97" s="3">
        <v>0.11</v>
      </c>
      <c r="F97" s="3">
        <v>0.22</v>
      </c>
      <c r="G97" s="3">
        <v>0.15</v>
      </c>
      <c r="H97" s="6">
        <f t="shared" si="6"/>
        <v>0.17199999999999999</v>
      </c>
      <c r="I97" s="6">
        <f t="shared" si="7"/>
        <v>-0.03</v>
      </c>
      <c r="J97" s="20">
        <f t="shared" si="8"/>
        <v>4.3243496620879347E-2</v>
      </c>
      <c r="K97" s="6">
        <f t="shared" si="9"/>
        <v>-7.0000000000000007E-2</v>
      </c>
      <c r="L97" t="str">
        <f t="shared" si="10"/>
        <v>Opportunity</v>
      </c>
      <c r="M97" s="16">
        <f t="shared" si="11"/>
        <v>0.15699999999999997</v>
      </c>
    </row>
    <row r="98" spans="1:13" ht="13.2" x14ac:dyDescent="0.25">
      <c r="A98" s="2" t="s">
        <v>17</v>
      </c>
      <c r="B98" s="2" t="s">
        <v>103</v>
      </c>
      <c r="C98" s="3">
        <v>0.04</v>
      </c>
      <c r="D98" s="3">
        <v>0.17</v>
      </c>
      <c r="E98" s="3">
        <v>0.11</v>
      </c>
      <c r="F98" s="3">
        <v>0.14000000000000001</v>
      </c>
      <c r="G98" s="3">
        <v>0.18</v>
      </c>
      <c r="H98" s="6">
        <f t="shared" si="6"/>
        <v>0.128</v>
      </c>
      <c r="I98" s="6">
        <f t="shared" si="7"/>
        <v>0.13999999999999999</v>
      </c>
      <c r="J98" s="20">
        <f t="shared" si="8"/>
        <v>5.6302753041036983E-2</v>
      </c>
      <c r="K98" s="6">
        <f t="shared" si="9"/>
        <v>3.999999999999998E-2</v>
      </c>
      <c r="L98" t="str">
        <f t="shared" si="10"/>
        <v>Critical</v>
      </c>
      <c r="M98" s="16">
        <f t="shared" si="11"/>
        <v>0.15433333333333332</v>
      </c>
    </row>
    <row r="99" spans="1:13" ht="13.2" x14ac:dyDescent="0.25">
      <c r="A99" s="2" t="s">
        <v>7</v>
      </c>
      <c r="B99" s="2" t="s">
        <v>104</v>
      </c>
      <c r="C99" s="3">
        <v>0.02</v>
      </c>
      <c r="D99" s="3">
        <v>0.18</v>
      </c>
      <c r="E99" s="3">
        <v>0.1</v>
      </c>
      <c r="F99" s="3">
        <v>0.11</v>
      </c>
      <c r="G99" s="3">
        <v>0.32</v>
      </c>
      <c r="H99" s="6">
        <f t="shared" si="6"/>
        <v>0.14599999999999999</v>
      </c>
      <c r="I99" s="6">
        <f t="shared" si="7"/>
        <v>0.3</v>
      </c>
      <c r="J99" s="20">
        <f t="shared" si="8"/>
        <v>0.11260550608207399</v>
      </c>
      <c r="K99" s="6">
        <f t="shared" si="9"/>
        <v>0.21000000000000002</v>
      </c>
      <c r="L99" t="str">
        <f t="shared" si="10"/>
        <v>Critical</v>
      </c>
      <c r="M99" s="16">
        <f t="shared" si="11"/>
        <v>0.21966666666666668</v>
      </c>
    </row>
    <row r="100" spans="1:13" ht="13.2" x14ac:dyDescent="0.25">
      <c r="A100" s="2" t="s">
        <v>17</v>
      </c>
      <c r="B100" s="2" t="s">
        <v>105</v>
      </c>
      <c r="C100" s="3">
        <v>7.0000000000000007E-2</v>
      </c>
      <c r="D100" s="3">
        <v>0</v>
      </c>
      <c r="E100" s="3">
        <v>0</v>
      </c>
      <c r="F100" s="3">
        <v>0.32</v>
      </c>
      <c r="G100" s="3">
        <v>0.33</v>
      </c>
      <c r="H100" s="6">
        <f t="shared" si="6"/>
        <v>0.14399999999999999</v>
      </c>
      <c r="I100" s="6">
        <f t="shared" si="7"/>
        <v>0.26</v>
      </c>
      <c r="J100" s="20">
        <f t="shared" si="8"/>
        <v>0.16772000476985446</v>
      </c>
      <c r="K100" s="6">
        <f t="shared" si="9"/>
        <v>1.0000000000000009E-2</v>
      </c>
      <c r="L100" t="str">
        <f t="shared" si="10"/>
        <v>Critical</v>
      </c>
      <c r="M100" s="16">
        <f t="shared" si="11"/>
        <v>0.2506666666666667</v>
      </c>
    </row>
    <row r="101" spans="1:13" ht="13.2" x14ac:dyDescent="0.25">
      <c r="A101" s="2" t="s">
        <v>7</v>
      </c>
      <c r="B101" s="2" t="s">
        <v>106</v>
      </c>
      <c r="C101" s="3">
        <v>0.05</v>
      </c>
      <c r="D101" s="3">
        <v>0.06</v>
      </c>
      <c r="E101" s="3">
        <v>0.16</v>
      </c>
      <c r="F101" s="3">
        <v>0.15</v>
      </c>
      <c r="G101" s="3">
        <v>0.2</v>
      </c>
      <c r="H101" s="6">
        <f t="shared" si="6"/>
        <v>0.12400000000000003</v>
      </c>
      <c r="I101" s="6">
        <f t="shared" si="7"/>
        <v>0.15000000000000002</v>
      </c>
      <c r="J101" s="20">
        <f t="shared" si="8"/>
        <v>6.5802735505448351E-2</v>
      </c>
      <c r="K101" s="6">
        <f t="shared" si="9"/>
        <v>5.0000000000000017E-2</v>
      </c>
      <c r="L101" t="str">
        <f t="shared" si="10"/>
        <v>Critical</v>
      </c>
      <c r="M101" s="16">
        <f t="shared" si="11"/>
        <v>0.17899999999999999</v>
      </c>
    </row>
    <row r="102" spans="1:13" ht="13.2" x14ac:dyDescent="0.25">
      <c r="A102" s="2" t="s">
        <v>17</v>
      </c>
      <c r="B102" s="2" t="s">
        <v>107</v>
      </c>
      <c r="C102" s="3">
        <v>0</v>
      </c>
      <c r="D102" s="3">
        <v>0.08</v>
      </c>
      <c r="E102" s="3">
        <v>0.18</v>
      </c>
      <c r="F102" s="3">
        <v>0.36</v>
      </c>
      <c r="G102" s="3">
        <v>0.2</v>
      </c>
      <c r="H102" s="6">
        <f t="shared" si="6"/>
        <v>0.16400000000000001</v>
      </c>
      <c r="I102" s="6">
        <f t="shared" si="7"/>
        <v>0.2</v>
      </c>
      <c r="J102" s="20">
        <f t="shared" si="8"/>
        <v>0.13594116374373141</v>
      </c>
      <c r="K102" s="6">
        <f t="shared" si="9"/>
        <v>-0.15999999999999998</v>
      </c>
      <c r="L102" t="str">
        <f t="shared" si="10"/>
        <v>Opportunity</v>
      </c>
      <c r="M102" s="16">
        <f t="shared" si="11"/>
        <v>0.23266666666666666</v>
      </c>
    </row>
    <row r="103" spans="1:13" ht="13.2" x14ac:dyDescent="0.25">
      <c r="A103" s="2" t="s">
        <v>7</v>
      </c>
      <c r="B103" s="2" t="s">
        <v>108</v>
      </c>
      <c r="C103" s="3">
        <v>0.03</v>
      </c>
      <c r="D103" s="3">
        <v>0</v>
      </c>
      <c r="E103" s="3">
        <v>0.01</v>
      </c>
      <c r="F103" s="3">
        <v>0.02</v>
      </c>
      <c r="G103" s="3">
        <v>0.2</v>
      </c>
      <c r="H103" s="6">
        <f t="shared" si="6"/>
        <v>5.2000000000000005E-2</v>
      </c>
      <c r="I103" s="6">
        <f t="shared" si="7"/>
        <v>0.17</v>
      </c>
      <c r="J103" s="20">
        <f t="shared" si="8"/>
        <v>8.3486525858967209E-2</v>
      </c>
      <c r="K103" s="6">
        <f t="shared" si="9"/>
        <v>0.18000000000000002</v>
      </c>
      <c r="L103" t="str">
        <f t="shared" si="10"/>
        <v>Critical</v>
      </c>
      <c r="M103" s="16">
        <f t="shared" si="11"/>
        <v>0.11366666666666667</v>
      </c>
    </row>
    <row r="104" spans="1:13" ht="13.2" x14ac:dyDescent="0.25">
      <c r="A104" s="2" t="s">
        <v>7</v>
      </c>
      <c r="B104" s="2" t="s">
        <v>109</v>
      </c>
      <c r="C104" s="3">
        <v>0.17</v>
      </c>
      <c r="D104" s="3">
        <v>0.05</v>
      </c>
      <c r="E104" s="3">
        <v>0.11</v>
      </c>
      <c r="F104" s="3">
        <v>0.13</v>
      </c>
      <c r="G104" s="3">
        <v>7.0000000000000007E-2</v>
      </c>
      <c r="H104" s="6">
        <f t="shared" si="6"/>
        <v>0.10600000000000001</v>
      </c>
      <c r="I104" s="6">
        <f t="shared" si="7"/>
        <v>-0.1</v>
      </c>
      <c r="J104" s="20">
        <f t="shared" si="8"/>
        <v>4.7749345545253292E-2</v>
      </c>
      <c r="K104" s="6">
        <f t="shared" si="9"/>
        <v>-0.06</v>
      </c>
      <c r="L104" t="str">
        <f t="shared" si="10"/>
        <v>Critical</v>
      </c>
      <c r="M104" s="16">
        <f t="shared" si="11"/>
        <v>9.3333333333333338E-2</v>
      </c>
    </row>
    <row r="105" spans="1:13" ht="13.2" x14ac:dyDescent="0.25">
      <c r="A105" s="2" t="s">
        <v>17</v>
      </c>
      <c r="B105" s="2" t="s">
        <v>110</v>
      </c>
      <c r="C105" s="3">
        <v>0.08</v>
      </c>
      <c r="D105" s="3">
        <v>0.11</v>
      </c>
      <c r="E105" s="3">
        <v>0.1</v>
      </c>
      <c r="F105" s="3">
        <v>0.16</v>
      </c>
      <c r="G105" s="3">
        <v>0.13</v>
      </c>
      <c r="H105" s="6">
        <f t="shared" si="6"/>
        <v>0.11600000000000002</v>
      </c>
      <c r="I105" s="6">
        <f t="shared" si="7"/>
        <v>0.05</v>
      </c>
      <c r="J105" s="20">
        <f t="shared" si="8"/>
        <v>3.0495901363953758E-2</v>
      </c>
      <c r="K105" s="6">
        <f t="shared" si="9"/>
        <v>-0.03</v>
      </c>
      <c r="L105" t="str">
        <f t="shared" si="10"/>
        <v>Critical</v>
      </c>
      <c r="M105" s="16">
        <f t="shared" si="11"/>
        <v>0.13</v>
      </c>
    </row>
    <row r="106" spans="1:13" ht="13.2" x14ac:dyDescent="0.25">
      <c r="A106" s="2" t="s">
        <v>17</v>
      </c>
      <c r="B106" s="2" t="s">
        <v>111</v>
      </c>
      <c r="C106" s="3">
        <v>0</v>
      </c>
      <c r="D106" s="3">
        <v>0</v>
      </c>
      <c r="E106" s="3">
        <v>0.04</v>
      </c>
      <c r="F106" s="3">
        <v>0.13</v>
      </c>
      <c r="G106" s="3">
        <v>0.38</v>
      </c>
      <c r="H106" s="6">
        <f t="shared" si="6"/>
        <v>0.11000000000000001</v>
      </c>
      <c r="I106" s="6">
        <f t="shared" si="7"/>
        <v>0.38</v>
      </c>
      <c r="J106" s="20">
        <f t="shared" si="8"/>
        <v>0.15999999999999998</v>
      </c>
      <c r="K106" s="6">
        <f t="shared" si="9"/>
        <v>0.25</v>
      </c>
      <c r="L106" t="str">
        <f t="shared" si="10"/>
        <v>Critical</v>
      </c>
      <c r="M106" s="16">
        <f t="shared" si="11"/>
        <v>0.24233333333333332</v>
      </c>
    </row>
    <row r="107" spans="1:13" ht="13.2" x14ac:dyDescent="0.25">
      <c r="A107" s="2" t="s">
        <v>1</v>
      </c>
      <c r="B107" s="2" t="s">
        <v>112</v>
      </c>
      <c r="C107" s="3">
        <v>0.28000000000000003</v>
      </c>
      <c r="D107" s="3">
        <v>0.3</v>
      </c>
      <c r="E107" s="3">
        <v>0.28000000000000003</v>
      </c>
      <c r="F107" s="3">
        <v>0.48</v>
      </c>
      <c r="G107" s="3">
        <v>0.33</v>
      </c>
      <c r="H107" s="6">
        <f t="shared" si="6"/>
        <v>0.33400000000000002</v>
      </c>
      <c r="I107" s="6">
        <f t="shared" si="7"/>
        <v>4.9999999999999989E-2</v>
      </c>
      <c r="J107" s="20">
        <f t="shared" si="8"/>
        <v>8.4142735871850532E-2</v>
      </c>
      <c r="K107" s="6">
        <f t="shared" si="9"/>
        <v>-0.14999999999999997</v>
      </c>
      <c r="L107" t="str">
        <f t="shared" si="10"/>
        <v>Stable</v>
      </c>
      <c r="M107" s="16">
        <f t="shared" si="11"/>
        <v>0.35333333333333328</v>
      </c>
    </row>
    <row r="108" spans="1:13" ht="13.2" x14ac:dyDescent="0.25">
      <c r="A108" s="2" t="s">
        <v>22</v>
      </c>
      <c r="B108" s="2" t="s">
        <v>113</v>
      </c>
      <c r="C108" s="3">
        <v>0.1</v>
      </c>
      <c r="D108" s="3">
        <v>0.11</v>
      </c>
      <c r="E108" s="3">
        <v>0.13</v>
      </c>
      <c r="F108" s="3">
        <v>0.14000000000000001</v>
      </c>
      <c r="G108" s="3">
        <v>0.27</v>
      </c>
      <c r="H108" s="6">
        <f t="shared" si="6"/>
        <v>0.15</v>
      </c>
      <c r="I108" s="6">
        <f t="shared" si="7"/>
        <v>0.17</v>
      </c>
      <c r="J108" s="20">
        <f t="shared" si="8"/>
        <v>6.8920243760451111E-2</v>
      </c>
      <c r="K108" s="6">
        <f t="shared" si="9"/>
        <v>0.13</v>
      </c>
      <c r="L108" t="str">
        <f t="shared" si="10"/>
        <v>Opportunity</v>
      </c>
      <c r="M108" s="16">
        <f t="shared" si="11"/>
        <v>0.20700000000000002</v>
      </c>
    </row>
    <row r="109" spans="1:13" ht="13.2" x14ac:dyDescent="0.25">
      <c r="A109" s="2" t="s">
        <v>17</v>
      </c>
      <c r="B109" s="2" t="s">
        <v>114</v>
      </c>
      <c r="C109" s="3">
        <v>0.14000000000000001</v>
      </c>
      <c r="D109" s="3">
        <v>0</v>
      </c>
      <c r="E109" s="3">
        <v>7.0000000000000007E-2</v>
      </c>
      <c r="F109" s="3">
        <v>0.21</v>
      </c>
      <c r="G109" s="3">
        <v>0.28999999999999998</v>
      </c>
      <c r="H109" s="6">
        <f t="shared" si="6"/>
        <v>0.14199999999999999</v>
      </c>
      <c r="I109" s="6">
        <f t="shared" si="7"/>
        <v>0.14999999999999997</v>
      </c>
      <c r="J109" s="20">
        <f t="shared" si="8"/>
        <v>0.11388590782006351</v>
      </c>
      <c r="K109" s="6">
        <f t="shared" si="9"/>
        <v>7.9999999999999988E-2</v>
      </c>
      <c r="L109" t="str">
        <f t="shared" si="10"/>
        <v>Critical</v>
      </c>
      <c r="M109" s="16">
        <f t="shared" si="11"/>
        <v>0.22</v>
      </c>
    </row>
    <row r="110" spans="1:13" ht="13.2" x14ac:dyDescent="0.25">
      <c r="A110" s="2" t="s">
        <v>11</v>
      </c>
      <c r="B110" s="2" t="s">
        <v>115</v>
      </c>
      <c r="C110" s="3">
        <v>0.06</v>
      </c>
      <c r="D110" s="3">
        <v>0</v>
      </c>
      <c r="E110" s="3">
        <v>0.05</v>
      </c>
      <c r="F110" s="3">
        <v>0.11</v>
      </c>
      <c r="G110" s="3">
        <v>0.17</v>
      </c>
      <c r="H110" s="6">
        <f t="shared" si="6"/>
        <v>7.8E-2</v>
      </c>
      <c r="I110" s="6">
        <f t="shared" si="7"/>
        <v>0.11000000000000001</v>
      </c>
      <c r="J110" s="20">
        <f t="shared" si="8"/>
        <v>6.4575537163851768E-2</v>
      </c>
      <c r="K110" s="6">
        <f t="shared" si="9"/>
        <v>6.0000000000000012E-2</v>
      </c>
      <c r="L110" t="str">
        <f t="shared" si="10"/>
        <v>Critical</v>
      </c>
      <c r="M110" s="16">
        <f t="shared" si="11"/>
        <v>0.128</v>
      </c>
    </row>
    <row r="111" spans="1:13" ht="13.2" x14ac:dyDescent="0.25">
      <c r="A111" s="2" t="s">
        <v>7</v>
      </c>
      <c r="B111" s="2" t="s">
        <v>116</v>
      </c>
      <c r="C111" s="3">
        <v>0.06</v>
      </c>
      <c r="D111" s="3">
        <v>0.23</v>
      </c>
      <c r="E111" s="3">
        <v>0.23</v>
      </c>
      <c r="F111" s="3">
        <v>0.18</v>
      </c>
      <c r="G111" s="3">
        <v>0.2</v>
      </c>
      <c r="H111" s="6">
        <f t="shared" si="6"/>
        <v>0.18</v>
      </c>
      <c r="I111" s="6">
        <f t="shared" si="7"/>
        <v>0.14000000000000001</v>
      </c>
      <c r="J111" s="20">
        <f t="shared" si="8"/>
        <v>7.035623639735146E-2</v>
      </c>
      <c r="K111" s="6">
        <f t="shared" si="9"/>
        <v>2.0000000000000018E-2</v>
      </c>
      <c r="L111" t="str">
        <f t="shared" si="10"/>
        <v>Opportunity</v>
      </c>
      <c r="M111" s="16">
        <f t="shared" si="11"/>
        <v>0.20233333333333334</v>
      </c>
    </row>
    <row r="112" spans="1:13" ht="13.2" x14ac:dyDescent="0.25">
      <c r="A112" s="2" t="s">
        <v>17</v>
      </c>
      <c r="B112" s="2" t="s">
        <v>117</v>
      </c>
      <c r="C112" s="3">
        <v>0.17</v>
      </c>
      <c r="D112" s="3">
        <v>0.08</v>
      </c>
      <c r="E112" s="3">
        <v>0.1</v>
      </c>
      <c r="F112" s="3">
        <v>0.18</v>
      </c>
      <c r="G112" s="3">
        <v>7.0000000000000007E-2</v>
      </c>
      <c r="H112" s="6">
        <f t="shared" si="6"/>
        <v>0.12000000000000002</v>
      </c>
      <c r="I112" s="6">
        <f t="shared" si="7"/>
        <v>-0.1</v>
      </c>
      <c r="J112" s="20">
        <f t="shared" si="8"/>
        <v>5.1478150704934965E-2</v>
      </c>
      <c r="K112" s="6">
        <f t="shared" si="9"/>
        <v>-0.10999999999999999</v>
      </c>
      <c r="L112" t="str">
        <f t="shared" si="10"/>
        <v>Critical</v>
      </c>
      <c r="M112" s="16">
        <f t="shared" si="11"/>
        <v>0.10266666666666668</v>
      </c>
    </row>
    <row r="113" spans="1:13" ht="13.2" x14ac:dyDescent="0.25">
      <c r="A113" s="2" t="s">
        <v>17</v>
      </c>
      <c r="B113" s="2" t="s">
        <v>118</v>
      </c>
      <c r="C113" s="3">
        <v>0</v>
      </c>
      <c r="D113" s="3">
        <v>0.1</v>
      </c>
      <c r="E113" s="3">
        <v>0.14000000000000001</v>
      </c>
      <c r="F113" s="3">
        <v>0.32</v>
      </c>
      <c r="G113" s="3">
        <v>0.13</v>
      </c>
      <c r="H113" s="6">
        <f t="shared" si="6"/>
        <v>0.13800000000000001</v>
      </c>
      <c r="I113" s="6">
        <f t="shared" si="7"/>
        <v>0.13</v>
      </c>
      <c r="J113" s="20">
        <f t="shared" si="8"/>
        <v>0.11584472366059663</v>
      </c>
      <c r="K113" s="6">
        <f t="shared" si="9"/>
        <v>-0.19</v>
      </c>
      <c r="L113" t="str">
        <f t="shared" si="10"/>
        <v>Critical</v>
      </c>
      <c r="M113" s="16">
        <f t="shared" si="11"/>
        <v>0.17666666666666667</v>
      </c>
    </row>
    <row r="114" spans="1:13" ht="13.2" x14ac:dyDescent="0.25">
      <c r="A114" s="2" t="s">
        <v>22</v>
      </c>
      <c r="B114" s="2" t="s">
        <v>119</v>
      </c>
      <c r="C114" s="3">
        <v>0.1</v>
      </c>
      <c r="D114" s="3">
        <v>0</v>
      </c>
      <c r="E114" s="3">
        <v>0.06</v>
      </c>
      <c r="F114" s="3">
        <v>0.12</v>
      </c>
      <c r="G114" s="3">
        <v>0.09</v>
      </c>
      <c r="H114" s="6">
        <f t="shared" si="6"/>
        <v>7.3999999999999996E-2</v>
      </c>
      <c r="I114" s="6">
        <f t="shared" si="7"/>
        <v>-1.0000000000000009E-2</v>
      </c>
      <c r="J114" s="20">
        <f t="shared" si="8"/>
        <v>4.6690470119715013E-2</v>
      </c>
      <c r="K114" s="6">
        <f t="shared" si="9"/>
        <v>-0.03</v>
      </c>
      <c r="L114" t="str">
        <f t="shared" si="10"/>
        <v>Critical</v>
      </c>
      <c r="M114" s="16">
        <f t="shared" si="11"/>
        <v>0.09</v>
      </c>
    </row>
    <row r="115" spans="1:13" ht="13.2" x14ac:dyDescent="0.25">
      <c r="A115" s="2" t="s">
        <v>1</v>
      </c>
      <c r="B115" s="2" t="s">
        <v>120</v>
      </c>
      <c r="C115" s="3">
        <v>0.28999999999999998</v>
      </c>
      <c r="D115" s="3">
        <v>0.25</v>
      </c>
      <c r="E115" s="3">
        <v>0.34</v>
      </c>
      <c r="F115" s="3">
        <v>0.38</v>
      </c>
      <c r="G115" s="3">
        <v>0.13</v>
      </c>
      <c r="H115" s="6">
        <f t="shared" si="6"/>
        <v>0.27800000000000002</v>
      </c>
      <c r="I115" s="6">
        <f t="shared" si="7"/>
        <v>-0.15999999999999998</v>
      </c>
      <c r="J115" s="20">
        <f t="shared" si="8"/>
        <v>9.6280839215287281E-2</v>
      </c>
      <c r="K115" s="6">
        <f t="shared" si="9"/>
        <v>-0.25</v>
      </c>
      <c r="L115" t="str">
        <f t="shared" si="10"/>
        <v>Stable</v>
      </c>
      <c r="M115" s="16">
        <f t="shared" si="11"/>
        <v>0.23733333333333331</v>
      </c>
    </row>
    <row r="116" spans="1:13" ht="13.2" x14ac:dyDescent="0.25">
      <c r="A116" s="2" t="s">
        <v>17</v>
      </c>
      <c r="B116" s="2" t="s">
        <v>121</v>
      </c>
      <c r="C116" s="3">
        <v>0.04</v>
      </c>
      <c r="D116" s="3">
        <v>0.1</v>
      </c>
      <c r="E116" s="3">
        <v>0.06</v>
      </c>
      <c r="F116" s="3">
        <v>0.12</v>
      </c>
      <c r="G116" s="3">
        <v>0.18</v>
      </c>
      <c r="H116" s="6">
        <f t="shared" si="6"/>
        <v>0.1</v>
      </c>
      <c r="I116" s="6">
        <f t="shared" si="7"/>
        <v>0.13999999999999999</v>
      </c>
      <c r="J116" s="20">
        <f t="shared" si="8"/>
        <v>5.4772255750516606E-2</v>
      </c>
      <c r="K116" s="6">
        <f t="shared" si="9"/>
        <v>0.06</v>
      </c>
      <c r="L116" t="str">
        <f t="shared" si="10"/>
        <v>Critical</v>
      </c>
      <c r="M116" s="16">
        <f t="shared" si="11"/>
        <v>0.13799999999999998</v>
      </c>
    </row>
    <row r="117" spans="1:13" ht="13.2" x14ac:dyDescent="0.25">
      <c r="A117" s="2" t="s">
        <v>1</v>
      </c>
      <c r="B117" s="2" t="s">
        <v>122</v>
      </c>
      <c r="C117" s="3">
        <v>0.26</v>
      </c>
      <c r="D117" s="3">
        <v>0.15</v>
      </c>
      <c r="E117" s="3">
        <v>0.19</v>
      </c>
      <c r="F117" s="3">
        <v>0.27</v>
      </c>
      <c r="G117" s="3">
        <v>0.3</v>
      </c>
      <c r="H117" s="6">
        <f t="shared" si="6"/>
        <v>0.23400000000000004</v>
      </c>
      <c r="I117" s="6">
        <f t="shared" si="7"/>
        <v>3.999999999999998E-2</v>
      </c>
      <c r="J117" s="20">
        <f t="shared" si="8"/>
        <v>6.1886993787063097E-2</v>
      </c>
      <c r="K117" s="6">
        <f t="shared" si="9"/>
        <v>2.9999999999999971E-2</v>
      </c>
      <c r="L117" t="str">
        <f t="shared" si="10"/>
        <v>Opportunity</v>
      </c>
      <c r="M117" s="16">
        <f t="shared" si="11"/>
        <v>0.26733333333333331</v>
      </c>
    </row>
    <row r="118" spans="1:13" ht="13.2" x14ac:dyDescent="0.25">
      <c r="A118" s="2" t="s">
        <v>1</v>
      </c>
      <c r="B118" s="2" t="s">
        <v>123</v>
      </c>
      <c r="C118" s="3">
        <v>0.03</v>
      </c>
      <c r="D118" s="3">
        <v>0</v>
      </c>
      <c r="E118" s="3">
        <v>0.16</v>
      </c>
      <c r="F118" s="3">
        <v>7.0000000000000007E-2</v>
      </c>
      <c r="G118" s="3">
        <v>1</v>
      </c>
      <c r="H118" s="6">
        <f t="shared" si="6"/>
        <v>0.252</v>
      </c>
      <c r="I118" s="6">
        <f t="shared" si="7"/>
        <v>0.97</v>
      </c>
      <c r="J118" s="20">
        <f t="shared" si="8"/>
        <v>0.42245709841355489</v>
      </c>
      <c r="K118" s="6">
        <f t="shared" si="9"/>
        <v>0.92999999999999994</v>
      </c>
      <c r="L118" t="str">
        <f t="shared" si="10"/>
        <v>Stable</v>
      </c>
      <c r="M118" s="16">
        <f t="shared" si="11"/>
        <v>0.58699999999999997</v>
      </c>
    </row>
    <row r="119" spans="1:13" ht="13.2" x14ac:dyDescent="0.25">
      <c r="A119" s="2" t="s">
        <v>1</v>
      </c>
      <c r="B119" s="2" t="s">
        <v>124</v>
      </c>
      <c r="C119" s="3">
        <v>0.01</v>
      </c>
      <c r="D119" s="3">
        <v>0.21</v>
      </c>
      <c r="E119" s="3">
        <v>0.17</v>
      </c>
      <c r="F119" s="3">
        <v>0.17</v>
      </c>
      <c r="G119" s="3">
        <v>0.04</v>
      </c>
      <c r="H119" s="6">
        <f t="shared" si="6"/>
        <v>0.12000000000000002</v>
      </c>
      <c r="I119" s="6">
        <f t="shared" si="7"/>
        <v>0.03</v>
      </c>
      <c r="J119" s="20">
        <f t="shared" si="8"/>
        <v>8.8881944173155869E-2</v>
      </c>
      <c r="K119" s="6">
        <f t="shared" si="9"/>
        <v>-0.13</v>
      </c>
      <c r="L119" t="str">
        <f t="shared" si="10"/>
        <v>Critical</v>
      </c>
      <c r="M119" s="16">
        <f t="shared" si="11"/>
        <v>0.10066666666666667</v>
      </c>
    </row>
    <row r="120" spans="1:13" ht="13.2" x14ac:dyDescent="0.25">
      <c r="A120" s="2" t="s">
        <v>11</v>
      </c>
      <c r="B120" s="2" t="s">
        <v>125</v>
      </c>
      <c r="C120" s="3">
        <v>0.05</v>
      </c>
      <c r="D120" s="3">
        <v>0.15</v>
      </c>
      <c r="E120" s="3">
        <v>0.03</v>
      </c>
      <c r="F120" s="3">
        <v>0.2</v>
      </c>
      <c r="G120" s="3">
        <v>0.15</v>
      </c>
      <c r="H120" s="6">
        <f t="shared" si="6"/>
        <v>0.11600000000000002</v>
      </c>
      <c r="I120" s="6">
        <f t="shared" si="7"/>
        <v>9.9999999999999992E-2</v>
      </c>
      <c r="J120" s="20">
        <f t="shared" si="8"/>
        <v>7.2663608498339777E-2</v>
      </c>
      <c r="K120" s="6">
        <f t="shared" si="9"/>
        <v>-5.0000000000000017E-2</v>
      </c>
      <c r="L120" t="str">
        <f t="shared" si="10"/>
        <v>Critical</v>
      </c>
      <c r="M120" s="16">
        <f t="shared" si="11"/>
        <v>0.13366666666666666</v>
      </c>
    </row>
    <row r="121" spans="1:13" ht="13.2" x14ac:dyDescent="0.25">
      <c r="A121" s="2" t="s">
        <v>7</v>
      </c>
      <c r="B121" s="2" t="s">
        <v>126</v>
      </c>
      <c r="C121" s="3">
        <v>0.05</v>
      </c>
      <c r="D121" s="3">
        <v>0.13</v>
      </c>
      <c r="E121" s="3">
        <v>0.14000000000000001</v>
      </c>
      <c r="F121" s="3">
        <v>0.12</v>
      </c>
      <c r="G121" s="3">
        <v>0</v>
      </c>
      <c r="H121" s="6">
        <f t="shared" si="6"/>
        <v>8.7999999999999995E-2</v>
      </c>
      <c r="I121" s="6">
        <f t="shared" si="7"/>
        <v>-0.05</v>
      </c>
      <c r="J121" s="20">
        <f t="shared" si="8"/>
        <v>6.0580524923443846E-2</v>
      </c>
      <c r="K121" s="6">
        <f t="shared" si="9"/>
        <v>-0.12</v>
      </c>
      <c r="L121" t="str">
        <f t="shared" si="10"/>
        <v>Critical</v>
      </c>
      <c r="M121" s="16">
        <f t="shared" si="11"/>
        <v>6.0666666666666667E-2</v>
      </c>
    </row>
    <row r="122" spans="1:13" ht="13.2" x14ac:dyDescent="0.25">
      <c r="A122" s="2" t="s">
        <v>1</v>
      </c>
      <c r="B122" s="2" t="s">
        <v>127</v>
      </c>
      <c r="C122" s="3">
        <v>0.17</v>
      </c>
      <c r="D122" s="3">
        <v>0.17</v>
      </c>
      <c r="E122" s="3">
        <v>0.1</v>
      </c>
      <c r="F122" s="3">
        <v>0.05</v>
      </c>
      <c r="G122" s="3">
        <v>0.06</v>
      </c>
      <c r="H122" s="6">
        <f t="shared" si="6"/>
        <v>0.11000000000000001</v>
      </c>
      <c r="I122" s="6">
        <f t="shared" si="7"/>
        <v>-0.11000000000000001</v>
      </c>
      <c r="J122" s="20">
        <f t="shared" si="8"/>
        <v>5.7879184513951146E-2</v>
      </c>
      <c r="K122" s="6">
        <f t="shared" si="9"/>
        <v>9.999999999999995E-3</v>
      </c>
      <c r="L122" t="str">
        <f t="shared" si="10"/>
        <v>Critical</v>
      </c>
      <c r="M122" s="16">
        <f t="shared" si="11"/>
        <v>6.7000000000000004E-2</v>
      </c>
    </row>
    <row r="123" spans="1:13" ht="13.2" x14ac:dyDescent="0.25">
      <c r="A123" s="2" t="s">
        <v>17</v>
      </c>
      <c r="B123" s="2" t="s">
        <v>128</v>
      </c>
      <c r="C123" s="3">
        <v>0.04</v>
      </c>
      <c r="D123" s="3">
        <v>0.14000000000000001</v>
      </c>
      <c r="E123" s="3">
        <v>0.04</v>
      </c>
      <c r="F123" s="3">
        <v>0.31</v>
      </c>
      <c r="G123" s="3">
        <v>0.28999999999999998</v>
      </c>
      <c r="H123" s="6">
        <f t="shared" si="6"/>
        <v>0.16400000000000001</v>
      </c>
      <c r="I123" s="6">
        <f t="shared" si="7"/>
        <v>0.24999999999999997</v>
      </c>
      <c r="J123" s="20">
        <f t="shared" si="8"/>
        <v>0.13088162590677119</v>
      </c>
      <c r="K123" s="6">
        <f t="shared" si="9"/>
        <v>-2.0000000000000018E-2</v>
      </c>
      <c r="L123" t="str">
        <f t="shared" si="10"/>
        <v>Opportunity</v>
      </c>
      <c r="M123" s="16">
        <f t="shared" si="11"/>
        <v>0.23633333333333328</v>
      </c>
    </row>
    <row r="124" spans="1:13" ht="13.2" x14ac:dyDescent="0.25">
      <c r="A124" s="2" t="s">
        <v>22</v>
      </c>
      <c r="B124" s="2" t="s">
        <v>129</v>
      </c>
      <c r="C124" s="3">
        <v>0.23</v>
      </c>
      <c r="D124" s="3">
        <v>0.38</v>
      </c>
      <c r="E124" s="3">
        <v>0.2</v>
      </c>
      <c r="F124" s="3">
        <v>0.22</v>
      </c>
      <c r="G124" s="3">
        <v>0.13</v>
      </c>
      <c r="H124" s="6">
        <f t="shared" si="6"/>
        <v>0.23200000000000004</v>
      </c>
      <c r="I124" s="6">
        <f t="shared" si="7"/>
        <v>-0.1</v>
      </c>
      <c r="J124" s="20">
        <f t="shared" si="8"/>
        <v>9.1487704091861369E-2</v>
      </c>
      <c r="K124" s="6">
        <f t="shared" si="9"/>
        <v>-0.09</v>
      </c>
      <c r="L124" t="str">
        <f t="shared" si="10"/>
        <v>Opportunity</v>
      </c>
      <c r="M124" s="16">
        <f t="shared" si="11"/>
        <v>0.16733333333333333</v>
      </c>
    </row>
    <row r="125" spans="1:13" ht="13.2" x14ac:dyDescent="0.25">
      <c r="A125" s="2" t="s">
        <v>17</v>
      </c>
      <c r="B125" s="2" t="s">
        <v>130</v>
      </c>
      <c r="C125" s="3">
        <v>0.16</v>
      </c>
      <c r="D125" s="3">
        <v>0.1</v>
      </c>
      <c r="E125" s="3">
        <v>0.17</v>
      </c>
      <c r="F125" s="3">
        <v>0.24</v>
      </c>
      <c r="G125" s="3">
        <v>0.15</v>
      </c>
      <c r="H125" s="6">
        <f t="shared" si="6"/>
        <v>0.16400000000000001</v>
      </c>
      <c r="I125" s="6">
        <f t="shared" si="7"/>
        <v>-1.0000000000000009E-2</v>
      </c>
      <c r="J125" s="20">
        <f t="shared" si="8"/>
        <v>5.0299105359837143E-2</v>
      </c>
      <c r="K125" s="6">
        <f t="shared" si="9"/>
        <v>-0.09</v>
      </c>
      <c r="L125" t="str">
        <f t="shared" si="10"/>
        <v>Opportunity</v>
      </c>
      <c r="M125" s="16">
        <f t="shared" si="11"/>
        <v>0.17566666666666664</v>
      </c>
    </row>
    <row r="126" spans="1:13" ht="13.2" x14ac:dyDescent="0.25">
      <c r="A126" s="2" t="s">
        <v>1</v>
      </c>
      <c r="B126" s="2" t="s">
        <v>131</v>
      </c>
      <c r="C126" s="3">
        <v>0</v>
      </c>
      <c r="D126" s="3">
        <v>0.25</v>
      </c>
      <c r="E126" s="3">
        <v>0.25</v>
      </c>
      <c r="F126" s="3">
        <v>0.35</v>
      </c>
      <c r="G126" s="3">
        <v>0</v>
      </c>
      <c r="H126" s="6">
        <f t="shared" si="6"/>
        <v>0.16999999999999998</v>
      </c>
      <c r="I126" s="6">
        <f t="shared" si="7"/>
        <v>0</v>
      </c>
      <c r="J126" s="20">
        <f t="shared" si="8"/>
        <v>0.16046806535881214</v>
      </c>
      <c r="K126" s="6">
        <f t="shared" si="9"/>
        <v>-0.35</v>
      </c>
      <c r="L126" t="str">
        <f t="shared" si="10"/>
        <v>Opportunity</v>
      </c>
      <c r="M126" s="16">
        <f t="shared" si="11"/>
        <v>0.13999999999999999</v>
      </c>
    </row>
    <row r="127" spans="1:13" ht="13.2" x14ac:dyDescent="0.25">
      <c r="A127" s="2" t="s">
        <v>22</v>
      </c>
      <c r="B127" s="2" t="s">
        <v>132</v>
      </c>
      <c r="C127" s="3">
        <v>0.04</v>
      </c>
      <c r="D127" s="3">
        <v>0.19</v>
      </c>
      <c r="E127" s="3">
        <v>0.19</v>
      </c>
      <c r="F127" s="3">
        <v>0.23</v>
      </c>
      <c r="G127" s="3">
        <v>0.14000000000000001</v>
      </c>
      <c r="H127" s="6">
        <f t="shared" si="6"/>
        <v>0.158</v>
      </c>
      <c r="I127" s="6">
        <f t="shared" si="7"/>
        <v>0.1</v>
      </c>
      <c r="J127" s="20">
        <f t="shared" si="8"/>
        <v>7.3280283842245039E-2</v>
      </c>
      <c r="K127" s="6">
        <f t="shared" si="9"/>
        <v>-0.09</v>
      </c>
      <c r="L127" t="str">
        <f t="shared" si="10"/>
        <v>Opportunity</v>
      </c>
      <c r="M127" s="16">
        <f t="shared" si="11"/>
        <v>0.17266666666666666</v>
      </c>
    </row>
    <row r="128" spans="1:13" ht="13.2" x14ac:dyDescent="0.25">
      <c r="A128" s="2" t="s">
        <v>11</v>
      </c>
      <c r="B128" s="2" t="s">
        <v>133</v>
      </c>
      <c r="C128" s="3">
        <v>0.17</v>
      </c>
      <c r="D128" s="3">
        <v>0.15</v>
      </c>
      <c r="E128" s="3">
        <v>0.26</v>
      </c>
      <c r="F128" s="3">
        <v>0.22</v>
      </c>
      <c r="G128" s="3">
        <v>0.11</v>
      </c>
      <c r="H128" s="6">
        <f t="shared" si="6"/>
        <v>0.182</v>
      </c>
      <c r="I128" s="6">
        <f t="shared" si="7"/>
        <v>-6.0000000000000012E-2</v>
      </c>
      <c r="J128" s="20">
        <f t="shared" si="8"/>
        <v>5.8906705900092511E-2</v>
      </c>
      <c r="K128" s="6">
        <f t="shared" si="9"/>
        <v>-0.11</v>
      </c>
      <c r="L128" t="str">
        <f t="shared" si="10"/>
        <v>Opportunity</v>
      </c>
      <c r="M128" s="16">
        <f t="shared" si="11"/>
        <v>0.17066666666666666</v>
      </c>
    </row>
    <row r="129" spans="1:13" ht="13.2" x14ac:dyDescent="0.25">
      <c r="A129" s="2" t="s">
        <v>11</v>
      </c>
      <c r="B129" s="2" t="s">
        <v>134</v>
      </c>
      <c r="C129" s="3">
        <v>0.14000000000000001</v>
      </c>
      <c r="D129" s="3">
        <v>0.41</v>
      </c>
      <c r="E129" s="3">
        <v>0.25</v>
      </c>
      <c r="F129" s="3">
        <v>0.15</v>
      </c>
      <c r="G129" s="3">
        <v>0.03</v>
      </c>
      <c r="H129" s="6">
        <f t="shared" si="6"/>
        <v>0.19600000000000001</v>
      </c>
      <c r="I129" s="6">
        <f t="shared" si="7"/>
        <v>-0.11000000000000001</v>
      </c>
      <c r="J129" s="20">
        <f t="shared" si="8"/>
        <v>0.14275853739794336</v>
      </c>
      <c r="K129" s="6">
        <f t="shared" si="9"/>
        <v>-0.12</v>
      </c>
      <c r="L129" t="str">
        <f t="shared" si="10"/>
        <v>Opportunity</v>
      </c>
      <c r="M129" s="16">
        <f t="shared" si="11"/>
        <v>0.10933333333333332</v>
      </c>
    </row>
    <row r="130" spans="1:13" ht="13.2" x14ac:dyDescent="0.25">
      <c r="A130" s="2" t="s">
        <v>17</v>
      </c>
      <c r="B130" s="2" t="s">
        <v>135</v>
      </c>
      <c r="C130" s="3">
        <v>7.0000000000000007E-2</v>
      </c>
      <c r="D130" s="3">
        <v>0.17</v>
      </c>
      <c r="E130" s="3">
        <v>0.13</v>
      </c>
      <c r="F130" s="3">
        <v>0.09</v>
      </c>
      <c r="G130" s="3">
        <v>0.17</v>
      </c>
      <c r="H130" s="6">
        <f t="shared" si="6"/>
        <v>0.126</v>
      </c>
      <c r="I130" s="6">
        <f t="shared" si="7"/>
        <v>0.1</v>
      </c>
      <c r="J130" s="20">
        <f t="shared" si="8"/>
        <v>4.5607017003965543E-2</v>
      </c>
      <c r="K130" s="6">
        <f t="shared" si="9"/>
        <v>8.0000000000000016E-2</v>
      </c>
      <c r="L130" t="str">
        <f t="shared" si="10"/>
        <v>Critical</v>
      </c>
      <c r="M130" s="16">
        <f t="shared" si="11"/>
        <v>0.14200000000000002</v>
      </c>
    </row>
    <row r="131" spans="1:13" ht="13.2" x14ac:dyDescent="0.25">
      <c r="A131" s="2" t="s">
        <v>1</v>
      </c>
      <c r="B131" s="2" t="s">
        <v>136</v>
      </c>
      <c r="C131" s="3">
        <v>0.11</v>
      </c>
      <c r="D131" s="3">
        <v>0.2</v>
      </c>
      <c r="E131" s="3">
        <v>0.17</v>
      </c>
      <c r="F131" s="3">
        <v>0.1</v>
      </c>
      <c r="G131" s="3">
        <v>0.1</v>
      </c>
      <c r="H131" s="6">
        <f t="shared" ref="H131:H164" si="12">AVERAGE(C131:G131)</f>
        <v>0.13599999999999998</v>
      </c>
      <c r="I131" s="6">
        <f t="shared" ref="I131:I164" si="13">G131-C131</f>
        <v>-9.999999999999995E-3</v>
      </c>
      <c r="J131" s="20">
        <f t="shared" ref="J131:J164" si="14">STDEV(C131:G131)</f>
        <v>4.6151923036857452E-2</v>
      </c>
      <c r="K131" s="6">
        <f t="shared" ref="K131:K164" si="15">G131 - F131</f>
        <v>0</v>
      </c>
      <c r="L131" t="str">
        <f t="shared" ref="L131:L164" si="16">IF(H131&gt;=40%,"Champion",
 IF(H131&gt;=25%,"Stable",
 IF(H131&gt;=15%,"Opportunity",
 "Critical")))</f>
        <v>Critical</v>
      </c>
      <c r="M131" s="16">
        <f t="shared" ref="M131:M164" si="17">(AVERAGE($E131:$G131)*0.7 + $G131*0.3)</f>
        <v>0.11633333333333333</v>
      </c>
    </row>
    <row r="132" spans="1:13" ht="13.2" x14ac:dyDescent="0.25">
      <c r="A132" s="2" t="s">
        <v>11</v>
      </c>
      <c r="B132" s="2" t="s">
        <v>137</v>
      </c>
      <c r="C132" s="3">
        <v>0.14000000000000001</v>
      </c>
      <c r="D132" s="3">
        <v>0.36</v>
      </c>
      <c r="E132" s="3">
        <v>0.19</v>
      </c>
      <c r="F132" s="3">
        <v>0.17</v>
      </c>
      <c r="G132" s="3">
        <v>0</v>
      </c>
      <c r="H132" s="6">
        <f t="shared" si="12"/>
        <v>0.17199999999999999</v>
      </c>
      <c r="I132" s="6">
        <f t="shared" si="13"/>
        <v>-0.14000000000000001</v>
      </c>
      <c r="J132" s="20">
        <f t="shared" si="14"/>
        <v>0.12872451204024818</v>
      </c>
      <c r="K132" s="6">
        <f t="shared" si="15"/>
        <v>-0.17</v>
      </c>
      <c r="L132" t="str">
        <f t="shared" si="16"/>
        <v>Opportunity</v>
      </c>
      <c r="M132" s="16">
        <f t="shared" si="17"/>
        <v>8.3999999999999991E-2</v>
      </c>
    </row>
    <row r="133" spans="1:13" ht="13.2" x14ac:dyDescent="0.25">
      <c r="A133" s="2" t="s">
        <v>1</v>
      </c>
      <c r="B133" s="2" t="s">
        <v>138</v>
      </c>
      <c r="C133" s="3">
        <v>0</v>
      </c>
      <c r="D133" s="3">
        <v>0</v>
      </c>
      <c r="E133" s="3">
        <v>0</v>
      </c>
      <c r="F133" s="3">
        <v>0.15</v>
      </c>
      <c r="G133" s="3">
        <v>0.17</v>
      </c>
      <c r="H133" s="6">
        <f t="shared" si="12"/>
        <v>6.4000000000000001E-2</v>
      </c>
      <c r="I133" s="6">
        <f t="shared" si="13"/>
        <v>0.17</v>
      </c>
      <c r="J133" s="20">
        <f t="shared" si="14"/>
        <v>8.7920418561333064E-2</v>
      </c>
      <c r="K133" s="6">
        <f t="shared" si="15"/>
        <v>2.0000000000000018E-2</v>
      </c>
      <c r="L133" t="str">
        <f t="shared" si="16"/>
        <v>Critical</v>
      </c>
      <c r="M133" s="16">
        <f t="shared" si="17"/>
        <v>0.12566666666666668</v>
      </c>
    </row>
    <row r="134" spans="1:13" ht="13.2" x14ac:dyDescent="0.25">
      <c r="A134" s="2" t="s">
        <v>1</v>
      </c>
      <c r="B134" s="2" t="s">
        <v>139</v>
      </c>
      <c r="C134" s="3">
        <v>0.2</v>
      </c>
      <c r="D134" s="3">
        <v>0.17</v>
      </c>
      <c r="E134" s="3">
        <v>0.06</v>
      </c>
      <c r="F134" s="3">
        <v>0.03</v>
      </c>
      <c r="G134" s="3">
        <v>0</v>
      </c>
      <c r="H134" s="6">
        <f t="shared" si="12"/>
        <v>9.1999999999999998E-2</v>
      </c>
      <c r="I134" s="6">
        <f t="shared" si="13"/>
        <v>-0.2</v>
      </c>
      <c r="J134" s="20">
        <f t="shared" si="14"/>
        <v>8.8147603484156095E-2</v>
      </c>
      <c r="K134" s="6">
        <f t="shared" si="15"/>
        <v>-0.03</v>
      </c>
      <c r="L134" t="str">
        <f t="shared" si="16"/>
        <v>Critical</v>
      </c>
      <c r="M134" s="16">
        <f t="shared" si="17"/>
        <v>2.0999999999999998E-2</v>
      </c>
    </row>
    <row r="135" spans="1:13" ht="13.2" x14ac:dyDescent="0.25">
      <c r="A135" s="2" t="s">
        <v>17</v>
      </c>
      <c r="B135" s="2" t="s">
        <v>140</v>
      </c>
      <c r="C135" s="3">
        <v>0</v>
      </c>
      <c r="D135" s="3">
        <v>0.15</v>
      </c>
      <c r="E135" s="3">
        <v>0.17</v>
      </c>
      <c r="F135" s="3">
        <v>0.19</v>
      </c>
      <c r="G135" s="3">
        <v>0.08</v>
      </c>
      <c r="H135" s="6">
        <f t="shared" si="12"/>
        <v>0.11799999999999999</v>
      </c>
      <c r="I135" s="6">
        <f t="shared" si="13"/>
        <v>0.08</v>
      </c>
      <c r="J135" s="20">
        <f t="shared" si="14"/>
        <v>7.7910204723129831E-2</v>
      </c>
      <c r="K135" s="6">
        <f t="shared" si="15"/>
        <v>-0.11</v>
      </c>
      <c r="L135" t="str">
        <f t="shared" si="16"/>
        <v>Critical</v>
      </c>
      <c r="M135" s="16">
        <f t="shared" si="17"/>
        <v>0.12666666666666665</v>
      </c>
    </row>
    <row r="136" spans="1:13" ht="13.2" x14ac:dyDescent="0.25">
      <c r="A136" s="2" t="s">
        <v>17</v>
      </c>
      <c r="B136" s="2" t="s">
        <v>141</v>
      </c>
      <c r="C136" s="3">
        <v>0.03</v>
      </c>
      <c r="D136" s="3">
        <v>0.05</v>
      </c>
      <c r="E136" s="3">
        <v>0.06</v>
      </c>
      <c r="F136" s="3">
        <v>0.19</v>
      </c>
      <c r="G136" s="3">
        <v>0.14000000000000001</v>
      </c>
      <c r="H136" s="6">
        <f t="shared" si="12"/>
        <v>9.4E-2</v>
      </c>
      <c r="I136" s="6">
        <f t="shared" si="13"/>
        <v>0.11000000000000001</v>
      </c>
      <c r="J136" s="20">
        <f t="shared" si="14"/>
        <v>6.804410334481599E-2</v>
      </c>
      <c r="K136" s="6">
        <f t="shared" si="15"/>
        <v>-4.9999999999999989E-2</v>
      </c>
      <c r="L136" t="str">
        <f t="shared" si="16"/>
        <v>Critical</v>
      </c>
      <c r="M136" s="16">
        <f t="shared" si="17"/>
        <v>0.13300000000000001</v>
      </c>
    </row>
    <row r="137" spans="1:13" ht="13.2" x14ac:dyDescent="0.25">
      <c r="A137" s="2" t="s">
        <v>7</v>
      </c>
      <c r="B137" s="2" t="s">
        <v>142</v>
      </c>
      <c r="C137" s="3">
        <v>0.08</v>
      </c>
      <c r="D137" s="3">
        <v>0.17</v>
      </c>
      <c r="E137" s="3">
        <v>0.16</v>
      </c>
      <c r="F137" s="3">
        <v>0.12</v>
      </c>
      <c r="G137" s="3">
        <v>0.09</v>
      </c>
      <c r="H137" s="6">
        <f t="shared" si="12"/>
        <v>0.124</v>
      </c>
      <c r="I137" s="6">
        <f t="shared" si="13"/>
        <v>9.999999999999995E-3</v>
      </c>
      <c r="J137" s="20">
        <f t="shared" si="14"/>
        <v>4.0373258476372693E-2</v>
      </c>
      <c r="K137" s="6">
        <f t="shared" si="15"/>
        <v>-0.03</v>
      </c>
      <c r="L137" t="str">
        <f t="shared" si="16"/>
        <v>Critical</v>
      </c>
      <c r="M137" s="16">
        <f t="shared" si="17"/>
        <v>0.11333333333333333</v>
      </c>
    </row>
    <row r="138" spans="1:13" ht="13.2" x14ac:dyDescent="0.25">
      <c r="A138" s="2" t="s">
        <v>17</v>
      </c>
      <c r="B138" s="2" t="s">
        <v>143</v>
      </c>
      <c r="C138" s="3">
        <v>0.04</v>
      </c>
      <c r="D138" s="3">
        <v>0.2</v>
      </c>
      <c r="E138" s="3">
        <v>7.0000000000000007E-2</v>
      </c>
      <c r="F138" s="3">
        <v>0.09</v>
      </c>
      <c r="G138" s="3">
        <v>0.14000000000000001</v>
      </c>
      <c r="H138" s="6">
        <f t="shared" si="12"/>
        <v>0.10800000000000001</v>
      </c>
      <c r="I138" s="6">
        <f t="shared" si="13"/>
        <v>0.1</v>
      </c>
      <c r="J138" s="20">
        <f t="shared" si="14"/>
        <v>6.3007936008093485E-2</v>
      </c>
      <c r="K138" s="6">
        <f t="shared" si="15"/>
        <v>5.0000000000000017E-2</v>
      </c>
      <c r="L138" t="str">
        <f t="shared" si="16"/>
        <v>Critical</v>
      </c>
      <c r="M138" s="16">
        <f t="shared" si="17"/>
        <v>0.11200000000000002</v>
      </c>
    </row>
    <row r="139" spans="1:13" ht="13.2" x14ac:dyDescent="0.25">
      <c r="A139" s="2" t="s">
        <v>17</v>
      </c>
      <c r="B139" s="2" t="s">
        <v>144</v>
      </c>
      <c r="C139" s="3">
        <v>0</v>
      </c>
      <c r="D139" s="3">
        <v>0.17</v>
      </c>
      <c r="E139" s="3">
        <v>0.08</v>
      </c>
      <c r="F139" s="3">
        <v>0.05</v>
      </c>
      <c r="G139" s="3">
        <v>0.14000000000000001</v>
      </c>
      <c r="H139" s="6">
        <f t="shared" si="12"/>
        <v>8.7999999999999995E-2</v>
      </c>
      <c r="I139" s="6">
        <f t="shared" si="13"/>
        <v>0.14000000000000001</v>
      </c>
      <c r="J139" s="20">
        <f t="shared" si="14"/>
        <v>6.8337398253079565E-2</v>
      </c>
      <c r="K139" s="6">
        <f t="shared" si="15"/>
        <v>9.0000000000000011E-2</v>
      </c>
      <c r="L139" t="str">
        <f t="shared" si="16"/>
        <v>Critical</v>
      </c>
      <c r="M139" s="16">
        <f t="shared" si="17"/>
        <v>0.10500000000000001</v>
      </c>
    </row>
    <row r="140" spans="1:13" ht="13.2" x14ac:dyDescent="0.25">
      <c r="A140" s="2" t="s">
        <v>17</v>
      </c>
      <c r="B140" s="2" t="s">
        <v>145</v>
      </c>
      <c r="C140" s="3">
        <v>0.06</v>
      </c>
      <c r="D140" s="3">
        <v>0.13</v>
      </c>
      <c r="E140" s="3">
        <v>0.05</v>
      </c>
      <c r="F140" s="3">
        <v>0.18</v>
      </c>
      <c r="G140" s="3">
        <v>0.2</v>
      </c>
      <c r="H140" s="6">
        <f t="shared" si="12"/>
        <v>0.124</v>
      </c>
      <c r="I140" s="6">
        <f t="shared" si="13"/>
        <v>0.14000000000000001</v>
      </c>
      <c r="J140" s="20">
        <f t="shared" si="14"/>
        <v>6.8044103344816018E-2</v>
      </c>
      <c r="K140" s="6">
        <f t="shared" si="15"/>
        <v>2.0000000000000018E-2</v>
      </c>
      <c r="L140" t="str">
        <f t="shared" si="16"/>
        <v>Critical</v>
      </c>
      <c r="M140" s="16">
        <f t="shared" si="17"/>
        <v>0.16033333333333333</v>
      </c>
    </row>
    <row r="141" spans="1:13" ht="13.2" x14ac:dyDescent="0.25">
      <c r="A141" s="2" t="s">
        <v>17</v>
      </c>
      <c r="B141" s="2" t="s">
        <v>146</v>
      </c>
      <c r="C141" s="3">
        <v>0</v>
      </c>
      <c r="D141" s="3">
        <v>0</v>
      </c>
      <c r="E141" s="3">
        <v>0.15</v>
      </c>
      <c r="F141" s="3">
        <v>0.24</v>
      </c>
      <c r="G141" s="3">
        <v>0</v>
      </c>
      <c r="H141" s="6">
        <f t="shared" si="12"/>
        <v>7.8E-2</v>
      </c>
      <c r="I141" s="6">
        <f t="shared" si="13"/>
        <v>0</v>
      </c>
      <c r="J141" s="20">
        <f t="shared" si="14"/>
        <v>0.11144505372604026</v>
      </c>
      <c r="K141" s="6">
        <f t="shared" si="15"/>
        <v>-0.24</v>
      </c>
      <c r="L141" t="str">
        <f t="shared" si="16"/>
        <v>Critical</v>
      </c>
      <c r="M141" s="16">
        <f t="shared" si="17"/>
        <v>9.0999999999999998E-2</v>
      </c>
    </row>
    <row r="142" spans="1:13" ht="13.2" x14ac:dyDescent="0.25">
      <c r="A142" s="2" t="s">
        <v>1</v>
      </c>
      <c r="B142" s="2" t="s">
        <v>147</v>
      </c>
      <c r="C142" s="3">
        <v>0</v>
      </c>
      <c r="D142" s="3">
        <v>0.06</v>
      </c>
      <c r="E142" s="3">
        <v>0.12</v>
      </c>
      <c r="F142" s="3">
        <v>0.15</v>
      </c>
      <c r="G142" s="3">
        <v>7.0000000000000007E-2</v>
      </c>
      <c r="H142" s="6">
        <f t="shared" si="12"/>
        <v>7.9999999999999988E-2</v>
      </c>
      <c r="I142" s="6">
        <f t="shared" si="13"/>
        <v>7.0000000000000007E-2</v>
      </c>
      <c r="J142" s="20">
        <f t="shared" si="14"/>
        <v>5.7879184513951132E-2</v>
      </c>
      <c r="K142" s="6">
        <f t="shared" si="15"/>
        <v>-7.9999999999999988E-2</v>
      </c>
      <c r="L142" t="str">
        <f t="shared" si="16"/>
        <v>Critical</v>
      </c>
      <c r="M142" s="16">
        <f t="shared" si="17"/>
        <v>0.10033333333333334</v>
      </c>
    </row>
    <row r="143" spans="1:13" ht="13.2" x14ac:dyDescent="0.25">
      <c r="A143" s="2" t="s">
        <v>17</v>
      </c>
      <c r="B143" s="2" t="s">
        <v>148</v>
      </c>
      <c r="C143" s="3">
        <v>0</v>
      </c>
      <c r="D143" s="3">
        <v>0</v>
      </c>
      <c r="E143" s="3">
        <v>0.05</v>
      </c>
      <c r="F143" s="3">
        <v>0.1</v>
      </c>
      <c r="G143" s="3">
        <v>0.2</v>
      </c>
      <c r="H143" s="6">
        <f t="shared" si="12"/>
        <v>7.0000000000000007E-2</v>
      </c>
      <c r="I143" s="6">
        <f t="shared" si="13"/>
        <v>0.2</v>
      </c>
      <c r="J143" s="20">
        <f t="shared" si="14"/>
        <v>8.3666002653407567E-2</v>
      </c>
      <c r="K143" s="6">
        <f t="shared" si="15"/>
        <v>0.1</v>
      </c>
      <c r="L143" t="str">
        <f t="shared" si="16"/>
        <v>Critical</v>
      </c>
      <c r="M143" s="16">
        <f t="shared" si="17"/>
        <v>0.14166666666666666</v>
      </c>
    </row>
    <row r="144" spans="1:13" ht="13.2" x14ac:dyDescent="0.25">
      <c r="A144" s="2" t="s">
        <v>17</v>
      </c>
      <c r="B144" s="2" t="s">
        <v>149</v>
      </c>
      <c r="C144" s="3">
        <v>0</v>
      </c>
      <c r="D144" s="3">
        <v>0</v>
      </c>
      <c r="E144" s="3">
        <v>0.04</v>
      </c>
      <c r="F144" s="3">
        <v>0.03</v>
      </c>
      <c r="G144" s="3">
        <v>0.14000000000000001</v>
      </c>
      <c r="H144" s="6">
        <f t="shared" si="12"/>
        <v>4.2000000000000003E-2</v>
      </c>
      <c r="I144" s="6">
        <f t="shared" si="13"/>
        <v>0.14000000000000001</v>
      </c>
      <c r="J144" s="20">
        <f t="shared" si="14"/>
        <v>5.7619441163551735E-2</v>
      </c>
      <c r="K144" s="6">
        <f t="shared" si="15"/>
        <v>0.11000000000000001</v>
      </c>
      <c r="L144" t="str">
        <f t="shared" si="16"/>
        <v>Critical</v>
      </c>
      <c r="M144" s="16">
        <f t="shared" si="17"/>
        <v>9.0999999999999998E-2</v>
      </c>
    </row>
    <row r="145" spans="1:13" ht="13.2" x14ac:dyDescent="0.25">
      <c r="A145" s="2" t="s">
        <v>22</v>
      </c>
      <c r="B145" s="2" t="s">
        <v>150</v>
      </c>
      <c r="C145" s="3">
        <v>0.1</v>
      </c>
      <c r="D145" s="3">
        <v>0.26</v>
      </c>
      <c r="E145" s="3">
        <v>0.15</v>
      </c>
      <c r="F145" s="3">
        <v>0.4</v>
      </c>
      <c r="G145" s="3">
        <v>0</v>
      </c>
      <c r="H145" s="6">
        <f t="shared" si="12"/>
        <v>0.182</v>
      </c>
      <c r="I145" s="6">
        <f t="shared" si="13"/>
        <v>-0.1</v>
      </c>
      <c r="J145" s="20">
        <f t="shared" si="14"/>
        <v>0.15368799562750499</v>
      </c>
      <c r="K145" s="6">
        <f t="shared" si="15"/>
        <v>-0.4</v>
      </c>
      <c r="L145" t="str">
        <f t="shared" si="16"/>
        <v>Opportunity</v>
      </c>
      <c r="M145" s="16">
        <f t="shared" si="17"/>
        <v>0.12833333333333333</v>
      </c>
    </row>
    <row r="146" spans="1:13" ht="13.2" x14ac:dyDescent="0.25">
      <c r="A146" s="2" t="s">
        <v>1</v>
      </c>
      <c r="B146" s="2" t="s">
        <v>151</v>
      </c>
      <c r="C146" s="3">
        <v>0</v>
      </c>
      <c r="D146" s="3">
        <v>0</v>
      </c>
      <c r="E146" s="3">
        <v>7.0000000000000007E-2</v>
      </c>
      <c r="F146" s="3">
        <v>0.28000000000000003</v>
      </c>
      <c r="G146" s="3">
        <v>0</v>
      </c>
      <c r="H146" s="6">
        <f t="shared" si="12"/>
        <v>7.0000000000000007E-2</v>
      </c>
      <c r="I146" s="6">
        <f t="shared" si="13"/>
        <v>0</v>
      </c>
      <c r="J146" s="20">
        <f t="shared" si="14"/>
        <v>0.12124355652982141</v>
      </c>
      <c r="K146" s="6">
        <f t="shared" si="15"/>
        <v>-0.28000000000000003</v>
      </c>
      <c r="L146" t="str">
        <f t="shared" si="16"/>
        <v>Critical</v>
      </c>
      <c r="M146" s="16">
        <f t="shared" si="17"/>
        <v>8.1666666666666679E-2</v>
      </c>
    </row>
    <row r="147" spans="1:13" ht="13.2" x14ac:dyDescent="0.25">
      <c r="A147" s="2" t="s">
        <v>22</v>
      </c>
      <c r="B147" s="2" t="s">
        <v>152</v>
      </c>
      <c r="C147" s="3">
        <v>0.13</v>
      </c>
      <c r="D147" s="3">
        <v>0.09</v>
      </c>
      <c r="E147" s="3">
        <v>0.12</v>
      </c>
      <c r="F147" s="3">
        <v>0.19</v>
      </c>
      <c r="G147" s="3">
        <v>0</v>
      </c>
      <c r="H147" s="6">
        <f t="shared" si="12"/>
        <v>0.10600000000000001</v>
      </c>
      <c r="I147" s="6">
        <f t="shared" si="13"/>
        <v>-0.13</v>
      </c>
      <c r="J147" s="20">
        <f t="shared" si="14"/>
        <v>6.9498201415576222E-2</v>
      </c>
      <c r="K147" s="6">
        <f t="shared" si="15"/>
        <v>-0.19</v>
      </c>
      <c r="L147" t="str">
        <f t="shared" si="16"/>
        <v>Critical</v>
      </c>
      <c r="M147" s="16">
        <f t="shared" si="17"/>
        <v>7.2333333333333333E-2</v>
      </c>
    </row>
    <row r="148" spans="1:13" ht="13.2" x14ac:dyDescent="0.25">
      <c r="A148" s="2" t="s">
        <v>5</v>
      </c>
      <c r="B148" s="2" t="s">
        <v>153</v>
      </c>
      <c r="C148" s="3">
        <v>0.02</v>
      </c>
      <c r="D148" s="3">
        <v>0.08</v>
      </c>
      <c r="E148" s="3">
        <v>0.14000000000000001</v>
      </c>
      <c r="F148" s="3">
        <v>0.28999999999999998</v>
      </c>
      <c r="G148" s="3">
        <v>0</v>
      </c>
      <c r="H148" s="6">
        <f t="shared" si="12"/>
        <v>0.10600000000000001</v>
      </c>
      <c r="I148" s="6">
        <f t="shared" si="13"/>
        <v>-0.02</v>
      </c>
      <c r="J148" s="20">
        <f t="shared" si="14"/>
        <v>0.11653325705565772</v>
      </c>
      <c r="K148" s="6">
        <f t="shared" si="15"/>
        <v>-0.28999999999999998</v>
      </c>
      <c r="L148" t="str">
        <f t="shared" si="16"/>
        <v>Critical</v>
      </c>
      <c r="M148" s="16">
        <f t="shared" si="17"/>
        <v>0.10033333333333333</v>
      </c>
    </row>
    <row r="149" spans="1:13" ht="13.2" x14ac:dyDescent="0.25">
      <c r="A149" s="2" t="s">
        <v>17</v>
      </c>
      <c r="B149" s="2" t="s">
        <v>154</v>
      </c>
      <c r="C149" s="3">
        <v>0.12</v>
      </c>
      <c r="D149" s="3">
        <v>7.0000000000000007E-2</v>
      </c>
      <c r="E149" s="3">
        <v>0.17</v>
      </c>
      <c r="F149" s="3">
        <v>0.2</v>
      </c>
      <c r="G149" s="3">
        <v>0</v>
      </c>
      <c r="H149" s="6">
        <f t="shared" si="12"/>
        <v>0.11200000000000002</v>
      </c>
      <c r="I149" s="6">
        <f t="shared" si="13"/>
        <v>-0.12</v>
      </c>
      <c r="J149" s="20">
        <f t="shared" si="14"/>
        <v>7.9812279756939664E-2</v>
      </c>
      <c r="K149" s="6">
        <f t="shared" si="15"/>
        <v>-0.2</v>
      </c>
      <c r="L149" t="str">
        <f t="shared" si="16"/>
        <v>Critical</v>
      </c>
      <c r="M149" s="16">
        <f t="shared" si="17"/>
        <v>8.6333333333333331E-2</v>
      </c>
    </row>
    <row r="150" spans="1:13" ht="13.2" x14ac:dyDescent="0.25">
      <c r="A150" s="2" t="s">
        <v>7</v>
      </c>
      <c r="B150" s="2" t="s">
        <v>155</v>
      </c>
      <c r="C150" s="3">
        <v>0</v>
      </c>
      <c r="D150" s="3">
        <v>0.33</v>
      </c>
      <c r="E150" s="3">
        <v>0.11</v>
      </c>
      <c r="F150" s="3">
        <v>0.23</v>
      </c>
      <c r="G150" s="3">
        <v>0</v>
      </c>
      <c r="H150" s="6">
        <f t="shared" si="12"/>
        <v>0.13400000000000001</v>
      </c>
      <c r="I150" s="6">
        <f t="shared" si="13"/>
        <v>0</v>
      </c>
      <c r="J150" s="20">
        <f t="shared" si="14"/>
        <v>0.14501724035437993</v>
      </c>
      <c r="K150" s="6">
        <f t="shared" si="15"/>
        <v>-0.23</v>
      </c>
      <c r="L150" t="str">
        <f t="shared" si="16"/>
        <v>Critical</v>
      </c>
      <c r="M150" s="16">
        <f t="shared" si="17"/>
        <v>7.9333333333333339E-2</v>
      </c>
    </row>
    <row r="151" spans="1:13" ht="13.2" x14ac:dyDescent="0.25">
      <c r="A151" s="2" t="s">
        <v>17</v>
      </c>
      <c r="B151" s="2" t="s">
        <v>156</v>
      </c>
      <c r="C151" s="3">
        <v>0.17</v>
      </c>
      <c r="D151" s="3">
        <v>0.1</v>
      </c>
      <c r="E151" s="3">
        <v>0.12</v>
      </c>
      <c r="F151" s="3">
        <v>0.25</v>
      </c>
      <c r="G151" s="3">
        <v>0</v>
      </c>
      <c r="H151" s="6">
        <f t="shared" si="12"/>
        <v>0.128</v>
      </c>
      <c r="I151" s="6">
        <f t="shared" si="13"/>
        <v>-0.17</v>
      </c>
      <c r="J151" s="20">
        <f t="shared" si="14"/>
        <v>9.2032602918748305E-2</v>
      </c>
      <c r="K151" s="6">
        <f t="shared" si="15"/>
        <v>-0.25</v>
      </c>
      <c r="L151" t="str">
        <f t="shared" si="16"/>
        <v>Critical</v>
      </c>
      <c r="M151" s="16">
        <f t="shared" si="17"/>
        <v>8.6333333333333331E-2</v>
      </c>
    </row>
    <row r="152" spans="1:13" ht="13.2" x14ac:dyDescent="0.25">
      <c r="A152" s="2" t="s">
        <v>17</v>
      </c>
      <c r="B152" s="2" t="s">
        <v>157</v>
      </c>
      <c r="C152" s="3">
        <v>7.0000000000000007E-2</v>
      </c>
      <c r="D152" s="3">
        <v>0</v>
      </c>
      <c r="E152" s="3">
        <v>7.0000000000000007E-2</v>
      </c>
      <c r="F152" s="3">
        <v>0.11</v>
      </c>
      <c r="G152" s="3">
        <v>0</v>
      </c>
      <c r="H152" s="6">
        <f t="shared" si="12"/>
        <v>0.05</v>
      </c>
      <c r="I152" s="6">
        <f t="shared" si="13"/>
        <v>-7.0000000000000007E-2</v>
      </c>
      <c r="J152" s="20">
        <f t="shared" si="14"/>
        <v>4.8476798574163295E-2</v>
      </c>
      <c r="K152" s="6">
        <f t="shared" si="15"/>
        <v>-0.11</v>
      </c>
      <c r="L152" t="str">
        <f t="shared" si="16"/>
        <v>Critical</v>
      </c>
      <c r="M152" s="16">
        <f t="shared" si="17"/>
        <v>4.1999999999999996E-2</v>
      </c>
    </row>
    <row r="153" spans="1:13" ht="13.2" x14ac:dyDescent="0.25">
      <c r="A153" s="2" t="s">
        <v>11</v>
      </c>
      <c r="B153" s="2" t="s">
        <v>158</v>
      </c>
      <c r="C153" s="3">
        <v>0</v>
      </c>
      <c r="D153" s="3">
        <v>0</v>
      </c>
      <c r="E153" s="3">
        <v>0.08</v>
      </c>
      <c r="F153" s="3">
        <v>0.03</v>
      </c>
      <c r="G153" s="3">
        <v>0</v>
      </c>
      <c r="H153" s="6">
        <f t="shared" si="12"/>
        <v>2.1999999999999999E-2</v>
      </c>
      <c r="I153" s="6">
        <f t="shared" si="13"/>
        <v>0</v>
      </c>
      <c r="J153" s="20">
        <f t="shared" si="14"/>
        <v>3.4928498393145962E-2</v>
      </c>
      <c r="K153" s="6">
        <f t="shared" si="15"/>
        <v>-0.03</v>
      </c>
      <c r="L153" t="str">
        <f t="shared" si="16"/>
        <v>Critical</v>
      </c>
      <c r="M153" s="16">
        <f t="shared" si="17"/>
        <v>2.5666666666666664E-2</v>
      </c>
    </row>
    <row r="154" spans="1:13" ht="13.2" x14ac:dyDescent="0.25">
      <c r="A154" s="2" t="s">
        <v>7</v>
      </c>
      <c r="B154" s="2" t="s">
        <v>159</v>
      </c>
      <c r="C154" s="3">
        <v>0.13</v>
      </c>
      <c r="D154" s="3">
        <v>0</v>
      </c>
      <c r="E154" s="3">
        <v>0.21</v>
      </c>
      <c r="F154" s="3">
        <v>0.09</v>
      </c>
      <c r="G154" s="3">
        <v>0</v>
      </c>
      <c r="H154" s="6">
        <f t="shared" si="12"/>
        <v>8.5999999999999993E-2</v>
      </c>
      <c r="I154" s="6">
        <f t="shared" si="13"/>
        <v>-0.13</v>
      </c>
      <c r="J154" s="20">
        <f t="shared" si="14"/>
        <v>8.9610267268879412E-2</v>
      </c>
      <c r="K154" s="6">
        <f t="shared" si="15"/>
        <v>-0.09</v>
      </c>
      <c r="L154" t="str">
        <f t="shared" si="16"/>
        <v>Critical</v>
      </c>
      <c r="M154" s="16">
        <f t="shared" si="17"/>
        <v>6.9999999999999993E-2</v>
      </c>
    </row>
    <row r="155" spans="1:13" ht="13.2" x14ac:dyDescent="0.25">
      <c r="A155" s="2" t="s">
        <v>22</v>
      </c>
      <c r="B155" s="2" t="s">
        <v>160</v>
      </c>
      <c r="C155" s="3">
        <v>0</v>
      </c>
      <c r="D155" s="3">
        <v>0</v>
      </c>
      <c r="E155" s="3">
        <v>0.1</v>
      </c>
      <c r="F155" s="3">
        <v>0</v>
      </c>
      <c r="G155" s="3">
        <v>0</v>
      </c>
      <c r="H155" s="6">
        <f t="shared" si="12"/>
        <v>0.02</v>
      </c>
      <c r="I155" s="6">
        <f t="shared" si="13"/>
        <v>0</v>
      </c>
      <c r="J155" s="20">
        <f t="shared" si="14"/>
        <v>4.4721359549995801E-2</v>
      </c>
      <c r="K155" s="6">
        <f t="shared" si="15"/>
        <v>0</v>
      </c>
      <c r="L155" t="str">
        <f t="shared" si="16"/>
        <v>Critical</v>
      </c>
      <c r="M155" s="16">
        <f t="shared" si="17"/>
        <v>2.3333333333333331E-2</v>
      </c>
    </row>
    <row r="156" spans="1:13" ht="13.2" x14ac:dyDescent="0.25">
      <c r="A156" s="2" t="s">
        <v>17</v>
      </c>
      <c r="B156" s="2" t="s">
        <v>161</v>
      </c>
      <c r="C156" s="3">
        <v>0</v>
      </c>
      <c r="D156" s="3">
        <v>0.17</v>
      </c>
      <c r="E156" s="3">
        <v>0</v>
      </c>
      <c r="F156" s="3">
        <v>0</v>
      </c>
      <c r="G156" s="3">
        <v>0</v>
      </c>
      <c r="H156" s="6">
        <f t="shared" si="12"/>
        <v>3.4000000000000002E-2</v>
      </c>
      <c r="I156" s="6">
        <f t="shared" si="13"/>
        <v>0</v>
      </c>
      <c r="J156" s="20">
        <f t="shared" si="14"/>
        <v>7.6026311234992858E-2</v>
      </c>
      <c r="K156" s="6">
        <f t="shared" si="15"/>
        <v>0</v>
      </c>
      <c r="L156" t="str">
        <f t="shared" si="16"/>
        <v>Critical</v>
      </c>
      <c r="M156" s="16">
        <f t="shared" si="17"/>
        <v>0</v>
      </c>
    </row>
    <row r="157" spans="1:13" ht="13.2" x14ac:dyDescent="0.25">
      <c r="A157" s="2" t="s">
        <v>17</v>
      </c>
      <c r="B157" s="2" t="s">
        <v>162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6">
        <f t="shared" si="12"/>
        <v>0</v>
      </c>
      <c r="I157" s="6">
        <f t="shared" si="13"/>
        <v>0</v>
      </c>
      <c r="J157" s="20">
        <f t="shared" si="14"/>
        <v>0</v>
      </c>
      <c r="K157" s="6">
        <f t="shared" si="15"/>
        <v>0</v>
      </c>
      <c r="L157" t="str">
        <f t="shared" si="16"/>
        <v>Critical</v>
      </c>
      <c r="M157" s="16">
        <f t="shared" si="17"/>
        <v>0</v>
      </c>
    </row>
    <row r="158" spans="1:13" ht="13.2" x14ac:dyDescent="0.25">
      <c r="A158" s="2" t="s">
        <v>7</v>
      </c>
      <c r="B158" s="2" t="s">
        <v>163</v>
      </c>
      <c r="C158" s="3">
        <v>0.03</v>
      </c>
      <c r="D158" s="3">
        <v>0.12</v>
      </c>
      <c r="E158" s="3">
        <v>0.16</v>
      </c>
      <c r="F158" s="3">
        <v>0.08</v>
      </c>
      <c r="G158" s="3">
        <v>0.2</v>
      </c>
      <c r="H158" s="6">
        <f t="shared" si="12"/>
        <v>0.11800000000000002</v>
      </c>
      <c r="I158" s="6">
        <f t="shared" si="13"/>
        <v>0.17</v>
      </c>
      <c r="J158" s="20">
        <f t="shared" si="14"/>
        <v>6.6483080554378654E-2</v>
      </c>
      <c r="K158" s="6">
        <f t="shared" si="15"/>
        <v>0.12000000000000001</v>
      </c>
      <c r="L158" t="str">
        <f t="shared" si="16"/>
        <v>Critical</v>
      </c>
      <c r="M158" s="16">
        <f t="shared" si="17"/>
        <v>0.16266666666666665</v>
      </c>
    </row>
    <row r="159" spans="1:13" ht="13.2" x14ac:dyDescent="0.25">
      <c r="A159" s="2" t="s">
        <v>7</v>
      </c>
      <c r="B159" s="2" t="s">
        <v>164</v>
      </c>
      <c r="C159" s="3">
        <v>0.12</v>
      </c>
      <c r="D159" s="3">
        <v>0.13</v>
      </c>
      <c r="E159" s="3">
        <v>0.08</v>
      </c>
      <c r="F159" s="3">
        <v>0.13</v>
      </c>
      <c r="G159" s="3">
        <v>0.18</v>
      </c>
      <c r="H159" s="6">
        <f t="shared" si="12"/>
        <v>0.128</v>
      </c>
      <c r="I159" s="6">
        <f t="shared" si="13"/>
        <v>0.06</v>
      </c>
      <c r="J159" s="20">
        <f t="shared" si="14"/>
        <v>3.5637059362410926E-2</v>
      </c>
      <c r="K159" s="6">
        <f t="shared" si="15"/>
        <v>4.9999999999999989E-2</v>
      </c>
      <c r="L159" t="str">
        <f t="shared" si="16"/>
        <v>Critical</v>
      </c>
      <c r="M159" s="16">
        <f t="shared" si="17"/>
        <v>0.14499999999999999</v>
      </c>
    </row>
    <row r="160" spans="1:13" ht="13.2" x14ac:dyDescent="0.25">
      <c r="A160" s="2" t="s">
        <v>7</v>
      </c>
      <c r="B160" s="2" t="s">
        <v>165</v>
      </c>
      <c r="C160" s="3">
        <v>0.01</v>
      </c>
      <c r="D160" s="3">
        <v>0</v>
      </c>
      <c r="E160" s="3">
        <v>0.15</v>
      </c>
      <c r="F160" s="3">
        <v>0.12</v>
      </c>
      <c r="G160" s="3">
        <v>0.25</v>
      </c>
      <c r="H160" s="6">
        <f t="shared" si="12"/>
        <v>0.10600000000000001</v>
      </c>
      <c r="I160" s="6">
        <f t="shared" si="13"/>
        <v>0.24</v>
      </c>
      <c r="J160" s="20">
        <f t="shared" si="14"/>
        <v>0.10406728592598156</v>
      </c>
      <c r="K160" s="6">
        <f t="shared" si="15"/>
        <v>0.13</v>
      </c>
      <c r="L160" t="str">
        <f t="shared" si="16"/>
        <v>Critical</v>
      </c>
      <c r="M160" s="16">
        <f t="shared" si="17"/>
        <v>0.19633333333333333</v>
      </c>
    </row>
    <row r="161" spans="1:13" ht="13.2" x14ac:dyDescent="0.25">
      <c r="A161" s="2" t="s">
        <v>11</v>
      </c>
      <c r="B161" s="2" t="s">
        <v>166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6">
        <f t="shared" si="12"/>
        <v>0</v>
      </c>
      <c r="I161" s="6">
        <f t="shared" si="13"/>
        <v>0</v>
      </c>
      <c r="J161" s="20">
        <f t="shared" si="14"/>
        <v>0</v>
      </c>
      <c r="K161" s="6">
        <f t="shared" si="15"/>
        <v>0</v>
      </c>
      <c r="L161" t="str">
        <f t="shared" si="16"/>
        <v>Critical</v>
      </c>
      <c r="M161" s="16">
        <f t="shared" si="17"/>
        <v>0</v>
      </c>
    </row>
    <row r="162" spans="1:13" ht="13.2" x14ac:dyDescent="0.25">
      <c r="A162" s="2" t="s">
        <v>17</v>
      </c>
      <c r="B162" s="2" t="s">
        <v>167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6">
        <f t="shared" si="12"/>
        <v>0</v>
      </c>
      <c r="I162" s="6">
        <f t="shared" si="13"/>
        <v>0</v>
      </c>
      <c r="J162" s="20">
        <f t="shared" si="14"/>
        <v>0</v>
      </c>
      <c r="K162" s="6">
        <f t="shared" si="15"/>
        <v>0</v>
      </c>
      <c r="L162" t="str">
        <f t="shared" si="16"/>
        <v>Critical</v>
      </c>
      <c r="M162" s="16">
        <f t="shared" si="17"/>
        <v>0</v>
      </c>
    </row>
    <row r="163" spans="1:13" ht="13.2" x14ac:dyDescent="0.25">
      <c r="A163" s="2" t="s">
        <v>17</v>
      </c>
      <c r="B163" s="2" t="s">
        <v>168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6">
        <f t="shared" si="12"/>
        <v>0</v>
      </c>
      <c r="I163" s="6">
        <f t="shared" si="13"/>
        <v>0</v>
      </c>
      <c r="J163" s="20">
        <f t="shared" si="14"/>
        <v>0</v>
      </c>
      <c r="K163" s="6">
        <f t="shared" si="15"/>
        <v>0</v>
      </c>
      <c r="L163" t="str">
        <f t="shared" si="16"/>
        <v>Critical</v>
      </c>
      <c r="M163" s="16">
        <f t="shared" si="17"/>
        <v>0</v>
      </c>
    </row>
    <row r="164" spans="1:13" ht="13.2" x14ac:dyDescent="0.25">
      <c r="A164" s="2" t="s">
        <v>7</v>
      </c>
      <c r="B164" s="2" t="s">
        <v>169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6">
        <f t="shared" si="12"/>
        <v>0</v>
      </c>
      <c r="I164" s="6">
        <f t="shared" si="13"/>
        <v>0</v>
      </c>
      <c r="J164" s="20">
        <f t="shared" si="14"/>
        <v>0</v>
      </c>
      <c r="K164" s="6">
        <f t="shared" si="15"/>
        <v>0</v>
      </c>
      <c r="L164" t="str">
        <f t="shared" si="16"/>
        <v>Critical</v>
      </c>
      <c r="M164" s="16">
        <f t="shared" si="17"/>
        <v>0</v>
      </c>
    </row>
  </sheetData>
  <conditionalFormatting sqref="H1:H1048576">
    <cfRule type="cellIs" dxfId="11" priority="5" stopIfTrue="1" operator="lessThan">
      <formula>0.15</formula>
    </cfRule>
    <cfRule type="cellIs" priority="6" stopIfTrue="1" operator="lessThan">
      <formula>0.15</formula>
    </cfRule>
    <cfRule type="cellIs" dxfId="10" priority="7" stopIfTrue="1" operator="between">
      <formula>0.15</formula>
      <formula>0.25</formula>
    </cfRule>
    <cfRule type="cellIs" dxfId="9" priority="8" stopIfTrue="1" operator="between">
      <formula>0.25</formula>
      <formula>0.4</formula>
    </cfRule>
    <cfRule type="cellIs" dxfId="8" priority="9" stopIfTrue="1" operator="greaterThanOrEqual">
      <formula>0.4</formula>
    </cfRule>
  </conditionalFormatting>
  <conditionalFormatting sqref="I1:I1048576">
    <cfRule type="cellIs" dxfId="7" priority="2" stopIfTrue="1" operator="equal">
      <formula>0</formula>
    </cfRule>
    <cfRule type="cellIs" dxfId="6" priority="3" stopIfTrue="1" operator="lessThan">
      <formula>0</formula>
    </cfRule>
    <cfRule type="cellIs" dxfId="5" priority="4" stopIfTrue="1" operator="greaterThan">
      <formula>0</formula>
    </cfRule>
  </conditionalFormatting>
  <conditionalFormatting sqref="L1:L164 M1">
    <cfRule type="cellIs" dxfId="4" priority="12" stopIfTrue="1" operator="equal">
      <formula>"Critical"</formula>
    </cfRule>
  </conditionalFormatting>
  <conditionalFormatting sqref="L1:L1048576">
    <cfRule type="cellIs" dxfId="3" priority="1" stopIfTrue="1" operator="equal">
      <formula>"Opportunity"</formula>
    </cfRule>
  </conditionalFormatting>
  <conditionalFormatting sqref="L1:M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 L1:L164">
    <cfRule type="cellIs" dxfId="2" priority="13" stopIfTrue="1" operator="equal">
      <formula>"Opportunity"</formula>
    </cfRule>
    <cfRule type="cellIs" dxfId="1" priority="14" stopIfTrue="1" operator="equal">
      <formula>"Stable"</formula>
    </cfRule>
    <cfRule type="cellIs" dxfId="0" priority="15" stopIfTrue="1" operator="equal">
      <formula>"Champion"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3E1E-74E3-4B8F-8BDD-67F5A6E15CE6}">
  <dimension ref="A1:O10"/>
  <sheetViews>
    <sheetView workbookViewId="0">
      <selection activeCell="O8" sqref="O8"/>
    </sheetView>
  </sheetViews>
  <sheetFormatPr defaultRowHeight="13.2" x14ac:dyDescent="0.25"/>
  <cols>
    <col min="1" max="1" width="26.109375" bestFit="1" customWidth="1"/>
    <col min="2" max="2" width="6.21875" bestFit="1" customWidth="1"/>
    <col min="14" max="14" width="15.5546875" customWidth="1"/>
    <col min="15" max="15" width="11.77734375" customWidth="1"/>
  </cols>
  <sheetData>
    <row r="1" spans="1:15" x14ac:dyDescent="0.25">
      <c r="M1" s="13" t="s">
        <v>183</v>
      </c>
      <c r="N1" s="14" t="s">
        <v>182</v>
      </c>
      <c r="O1" s="13"/>
    </row>
    <row r="2" spans="1:15" x14ac:dyDescent="0.25">
      <c r="M2" s="13" t="s">
        <v>175</v>
      </c>
      <c r="N2" s="15">
        <f>AVERAGE('Data &amp; Model'!C2:C164)</f>
        <v>0.12858895705521478</v>
      </c>
    </row>
    <row r="3" spans="1:15" x14ac:dyDescent="0.25">
      <c r="A3" s="8" t="s">
        <v>185</v>
      </c>
      <c r="B3" s="10"/>
      <c r="M3" t="s">
        <v>174</v>
      </c>
      <c r="N3" s="6">
        <f>AVERAGE('Data &amp; Model'!C2:F164)</f>
        <v>0.17098159509202449</v>
      </c>
    </row>
    <row r="4" spans="1:15" x14ac:dyDescent="0.25">
      <c r="A4" s="8" t="s">
        <v>170</v>
      </c>
      <c r="B4" s="10" t="s">
        <v>181</v>
      </c>
      <c r="M4" t="s">
        <v>173</v>
      </c>
      <c r="N4" s="6">
        <f>AVERAGE('Data &amp; Model'!E2:E164)</f>
        <v>0.17092024539877312</v>
      </c>
    </row>
    <row r="5" spans="1:15" x14ac:dyDescent="0.25">
      <c r="A5" s="7" t="s">
        <v>5</v>
      </c>
      <c r="B5" s="11">
        <v>0.27650000000000002</v>
      </c>
      <c r="M5" t="s">
        <v>172</v>
      </c>
      <c r="N5" s="6">
        <f>AVERAGE('Data &amp; Model'!F2:F164)</f>
        <v>0.21711656441717783</v>
      </c>
    </row>
    <row r="6" spans="1:15" x14ac:dyDescent="0.25">
      <c r="A6" s="9" t="s">
        <v>1</v>
      </c>
      <c r="B6" s="12">
        <v>0.24368181818181822</v>
      </c>
      <c r="M6" t="s">
        <v>171</v>
      </c>
      <c r="N6" s="6">
        <f>AVERAGE('Data &amp; Model'!G2:G164)</f>
        <v>0.21723926380368097</v>
      </c>
    </row>
    <row r="7" spans="1:15" x14ac:dyDescent="0.25">
      <c r="A7" s="9" t="s">
        <v>22</v>
      </c>
      <c r="B7" s="12">
        <v>0.17347368421052628</v>
      </c>
    </row>
    <row r="8" spans="1:15" x14ac:dyDescent="0.25">
      <c r="A8" s="9" t="s">
        <v>11</v>
      </c>
      <c r="B8" s="12">
        <v>0.14859999999999998</v>
      </c>
    </row>
    <row r="9" spans="1:15" x14ac:dyDescent="0.25">
      <c r="A9" s="9" t="s">
        <v>7</v>
      </c>
      <c r="B9" s="12">
        <v>0.1345833333333333</v>
      </c>
    </row>
    <row r="10" spans="1:15" x14ac:dyDescent="0.25">
      <c r="A10" s="17" t="s">
        <v>17</v>
      </c>
      <c r="B10" s="18">
        <v>0.11835</v>
      </c>
    </row>
  </sheetData>
  <phoneticPr fontId="3" type="noConversion"/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&amp; Model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Nyasa Dwivedi</dc:creator>
  <cp:lastModifiedBy>Nyasa Dwivedi</cp:lastModifiedBy>
  <dcterms:created xsi:type="dcterms:W3CDTF">2025-12-13T16:25:34Z</dcterms:created>
  <dcterms:modified xsi:type="dcterms:W3CDTF">2025-12-16T11:22:24Z</dcterms:modified>
</cp:coreProperties>
</file>